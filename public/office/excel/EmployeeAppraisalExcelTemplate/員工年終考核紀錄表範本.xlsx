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apprasial\2026_06_03_apprasial_server-main\public\office\excel\EmployeeAppraisalExcelTemplate\"/>
    </mc:Choice>
  </mc:AlternateContent>
  <xr:revisionPtr revIDLastSave="0" documentId="13_ncr:1_{E25EBF5E-5D50-4C61-ACDC-EFFDFF0762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紀錄表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3" l="1"/>
  <c r="E14" i="3" s="1" a="1"/>
  <c r="E14" i="3" s="1"/>
  <c r="D13" i="3"/>
  <c r="E13" i="3" s="1" a="1"/>
  <c r="E13" i="3" s="1"/>
  <c r="K10" i="3"/>
  <c r="J10" i="3"/>
  <c r="I10" i="3"/>
  <c r="H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<sst xmlns="http://schemas.openxmlformats.org/spreadsheetml/2006/main" count="36" uniqueCount="33">
  <si>
    <t>姓名</t>
  </si>
  <si>
    <t>考 核 項 目</t>
  </si>
  <si>
    <t>考核內容</t>
  </si>
  <si>
    <t>年度目標達成度</t>
  </si>
  <si>
    <t>單位主管評定等級及分數 (請簽章)</t>
  </si>
  <si>
    <t>總幹事綜合考評 (請簽章)</t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</si>
  <si>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</si>
  <si>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</si>
  <si>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</si>
  <si>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</si>
  <si>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</si>
  <si>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</si>
  <si>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</si>
  <si>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工作內容(必填)</t>
  </si>
  <si>
    <t>考核期間</t>
  </si>
  <si>
    <t>主管</t>
  </si>
  <si>
    <t>員工</t>
  </si>
  <si>
    <t>分數(0~100)</t>
  </si>
  <si>
    <t>考核</t>
  </si>
  <si>
    <t>工作知能及
公文績效</t>
  </si>
  <si>
    <t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</si>
  <si>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color rgb="FF0070C0"/>
        <rFont val="標楷體"/>
        <family val="4"/>
        <charset val="136"/>
      </rPr>
      <t>達成漁會訂定之目標值或成效</t>
    </r>
    <r>
      <rPr>
        <sz val="11"/>
        <color theme="1"/>
        <rFont val="標楷體"/>
        <family val="4"/>
        <charset val="136"/>
      </rPr>
      <t>，如期完成或較預定進度超前，充分達成計畫目標，績效卓著。</t>
    </r>
  </si>
  <si>
    <r>
      <rPr>
        <sz val="11"/>
        <rFont val="標楷體"/>
        <family val="4"/>
        <charset val="136"/>
      </rPr>
      <t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  <family val="4"/>
        <charset val="136"/>
      </rPr>
      <t>主管評定優等或丙等(含)以下應加敘事由或事蹟</t>
    </r>
  </si>
  <si>
    <t>績效</t>
  </si>
  <si>
    <r>
      <t>附註 :  一</t>
    </r>
    <r>
      <rPr>
        <sz val="6"/>
        <color theme="1"/>
        <rFont val="微軟正黑體"/>
        <family val="2"/>
        <charset val="136"/>
      </rPr>
      <t xml:space="preserve">  </t>
    </r>
    <r>
      <rPr>
        <sz val="11"/>
        <color theme="1"/>
        <rFont val="微軟正黑體"/>
        <family val="2"/>
        <charset val="136"/>
      </rPr>
      <t>、依據漁會人事管理辦法第54條規定訂定，但各漁會得視業務特性及需要自行訂定。</t>
    </r>
  </si>
  <si>
    <t>具判斷決策溝通協調能力，並能傳授知識、經驗、技能，適當指導同仁，且經常檢討工作計畫執行情形，達成預定績效目標。</t>
    <phoneticPr fontId="3" type="noConversion"/>
  </si>
  <si>
    <r>
      <rPr>
        <sz val="11"/>
        <rFont val="標楷體"/>
        <family val="4"/>
        <charset val="136"/>
      </rPr>
      <t>領導協調
能力</t>
    </r>
    <r>
      <rPr>
        <sz val="11"/>
        <color rgb="FFFF0000"/>
        <rFont val="標楷體"/>
        <family val="4"/>
        <charset val="136"/>
      </rPr>
      <t xml:space="preserve">(主管職務)   </t>
    </r>
    <phoneticPr fontId="3" type="noConversion"/>
  </si>
  <si>
    <t>績效</t>
    <phoneticPr fontId="3" type="noConversion"/>
  </si>
  <si>
    <t>服務態度、工作積極及品德操守</t>
    <phoneticPr fontId="3" type="noConversion"/>
  </si>
  <si>
    <r>
      <rPr>
        <sz val="11"/>
        <rFont val="標楷體"/>
        <family val="4"/>
        <charset val="136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  <family val="4"/>
        <charset val="136"/>
      </rPr>
      <t>。公文處理均能掌握品質及時效，臨時交辦案件亦能依限完成。</t>
    </r>
    <phoneticPr fontId="3" type="noConversion"/>
  </si>
  <si>
    <t>服務部門</t>
    <phoneticPr fontId="3" type="noConversion"/>
  </si>
  <si>
    <t>115年度彰化區漁會年度考核/績效成績表</t>
    <phoneticPr fontId="3" type="noConversion"/>
  </si>
  <si>
    <t>115年O1月至12月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</si>
</sst>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6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Microsoft JhengHei"/>
      <family val="2"/>
      <charset val="136"/>
    </font>
    <font>
      <sz val="11"/>
      <name val="標楷體"/>
      <family val="4"/>
      <charset val="136"/>
    </font>
    <font>
      <sz val="11"/>
      <color rgb="FF0070C0"/>
      <name val="標楷體"/>
      <family val="4"/>
      <charset val="136"/>
    </font>
    <font>
      <sz val="11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1"/>
      <color indexed="2"/>
      <name val="標楷體"/>
      <family val="4"/>
      <charset val="136"/>
    </font>
    <font>
      <sz val="11"/>
      <color rgb="FFFF0000"/>
      <name val="標楷體"/>
      <family val="4"/>
      <charset val="136"/>
    </font>
    <font>
      <sz val="11"/>
      <color theme="1"/>
      <name val="Arial Unicode MS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1" fillId="0" borderId="1" xfId="2" applyBorder="1" applyProtection="1">
      <protection locked="0"/>
    </xf>
    <xf numFmtId="0" fontId="1" fillId="0" borderId="0" xfId="2" applyAlignment="1" applyProtection="1">
      <alignment horizontal="left"/>
      <protection locked="0"/>
    </xf>
    <xf numFmtId="0" fontId="1" fillId="0" borderId="2" xfId="2" applyBorder="1" applyProtection="1">
      <protection locked="0"/>
    </xf>
    <xf numFmtId="0" fontId="1" fillId="0" borderId="0" xfId="2" applyProtection="1">
      <protection locked="0"/>
    </xf>
    <xf numFmtId="0" fontId="10" fillId="0" borderId="1" xfId="2" applyFont="1" applyBorder="1" applyAlignment="1">
      <alignment horizontal="left" vertical="center" indent="1"/>
    </xf>
    <xf numFmtId="0" fontId="10" fillId="2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9" fontId="12" fillId="3" borderId="1" xfId="0" applyNumberFormat="1" applyFont="1" applyFill="1" applyBorder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8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 wrapText="1"/>
    </xf>
    <xf numFmtId="0" fontId="8" fillId="0" borderId="0" xfId="2" applyFont="1" applyAlignment="1">
      <alignment horizontal="left"/>
    </xf>
    <xf numFmtId="0" fontId="1" fillId="0" borderId="0" xfId="2" applyAlignment="1">
      <alignment horizontal="center"/>
    </xf>
    <xf numFmtId="0" fontId="8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0" fontId="8" fillId="0" borderId="0" xfId="2" applyFont="1" applyAlignment="1">
      <alignment horizontal="left" vertical="top"/>
    </xf>
    <xf numFmtId="0" fontId="8" fillId="0" borderId="0" xfId="2" applyFont="1"/>
    <xf numFmtId="0" fontId="4" fillId="0" borderId="1" xfId="2" applyFont="1" applyBorder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0" fontId="6" fillId="4" borderId="3" xfId="2" applyFont="1" applyFill="1" applyBorder="1" applyAlignment="1" applyProtection="1">
      <alignment horizontal="left" vertical="top" wrapText="1"/>
      <protection locked="0"/>
    </xf>
    <xf numFmtId="0" fontId="6" fillId="4" borderId="4" xfId="2" applyFont="1" applyFill="1" applyBorder="1" applyAlignment="1" applyProtection="1">
      <alignment horizontal="left" vertical="top" wrapText="1"/>
      <protection locked="0"/>
    </xf>
    <xf numFmtId="0" fontId="6" fillId="4" borderId="5" xfId="2" applyFont="1" applyFill="1" applyBorder="1" applyAlignment="1" applyProtection="1">
      <alignment horizontal="left" vertical="top" wrapText="1"/>
      <protection locked="0"/>
    </xf>
    <xf numFmtId="0" fontId="4" fillId="0" borderId="1" xfId="2" applyFont="1" applyBorder="1" applyAlignment="1">
      <alignment vertical="center" wrapText="1"/>
    </xf>
    <xf numFmtId="0" fontId="4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>
      <alignment vertical="center" wrapText="1"/>
    </xf>
    <xf numFmtId="0" fontId="11" fillId="0" borderId="1" xfId="2" applyFont="1" applyBorder="1" applyAlignment="1">
      <alignment vertical="center" wrapText="1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left" vertical="center"/>
    </xf>
    <xf numFmtId="0" fontId="10" fillId="2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2" borderId="3" xfId="2" applyFont="1" applyFill="1" applyBorder="1" applyAlignment="1" applyProtection="1">
      <alignment horizontal="left" vertical="top" wrapText="1"/>
      <protection locked="0"/>
    </xf>
    <xf numFmtId="0" fontId="4" fillId="2" borderId="4" xfId="2" applyFont="1" applyFill="1" applyBorder="1" applyAlignment="1" applyProtection="1">
      <alignment horizontal="left" vertical="top" wrapText="1"/>
      <protection locked="0"/>
    </xf>
    <xf numFmtId="0" fontId="4" fillId="2" borderId="5" xfId="2" applyFont="1" applyFill="1" applyBorder="1" applyAlignment="1" applyProtection="1">
      <alignment horizontal="left" vertical="top" wrapText="1"/>
      <protection locked="0"/>
    </xf>
  </cellXfs>
  <cellStyles count="3">
    <cellStyle name="一般" xfId="0" builtinId="0"/>
    <cellStyle name="一般 2" xfId="1" xr:uid="{36BE5F09-47BC-4662-BCA3-AE437C29A05A}"/>
    <cellStyle name="一般 3" xfId="2" xr:uid="{15310849-F3F5-4F3C-A820-9F983D5D41D1}"/>
  </cellStyles>
  <dxfs count="0"/>
  <tableStyles count="0" defaultTableStyle="TableStyleMedium2" defaultPivotStyle="PivotStyleLight16"/>
  <colors>
    <mruColors>
      <color rgb="FFF26464"/>
      <color rgb="FFFAB5B0"/>
      <color rgb="FFF3483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1443;&#2597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參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ED94-BC50-4ED1-AD50-390639B04E72}">
  <dimension ref="A1:K25"/>
  <sheetViews>
    <sheetView tabSelected="1" topLeftCell="B1" workbookViewId="0">
      <selection activeCell="C3" sqref="C3:K3"/>
    </sheetView>
  </sheetViews>
  <sheetFormatPr defaultColWidth="11.19921875" defaultRowHeight="15"/>
  <cols>
    <col min="1" max="1" width="9.765625E-2" style="4" hidden="1" customWidth="1"/>
    <col min="2" max="2" width="16.69921875" style="17" customWidth="1"/>
    <col min="3" max="3" width="18.59765625" style="17" customWidth="1"/>
    <col min="4" max="4" width="5.5" style="17" hidden="1" customWidth="1"/>
    <col min="5" max="5" width="32" style="18" customWidth="1"/>
    <col min="6" max="6" width="4.69921875" style="19" customWidth="1"/>
    <col min="7" max="7" width="7.59765625" style="19" customWidth="1"/>
    <col min="8" max="10" width="6.59765625" style="15" customWidth="1"/>
    <col min="11" max="11" width="7.09765625" style="15" customWidth="1"/>
    <col min="12" max="12" width="11.19921875" style="4" customWidth="1"/>
    <col min="13" max="16384" width="11.19921875" style="4"/>
  </cols>
  <sheetData>
    <row r="1" spans="1:11" s="3" customFormat="1" ht="36.65" customHeight="1">
      <c r="A1" s="1"/>
      <c r="B1" s="33" t="s">
        <v>31</v>
      </c>
      <c r="C1" s="34"/>
      <c r="D1" s="34"/>
      <c r="E1" s="34"/>
      <c r="F1" s="34"/>
      <c r="G1" s="34"/>
      <c r="H1" s="34"/>
      <c r="I1" s="34"/>
      <c r="J1" s="34"/>
      <c r="K1" s="35"/>
    </row>
    <row r="2" spans="1:11" ht="35.25" customHeight="1">
      <c r="A2" s="1"/>
      <c r="B2" s="8" t="s">
        <v>0</v>
      </c>
      <c r="C2" s="36"/>
      <c r="D2" s="36"/>
      <c r="E2" s="36"/>
      <c r="F2" s="36" t="s">
        <v>30</v>
      </c>
      <c r="G2" s="36"/>
      <c r="H2" s="36"/>
      <c r="I2" s="36"/>
      <c r="J2" s="36"/>
      <c r="K2" s="36"/>
    </row>
    <row r="3" spans="1:11" ht="58.9" customHeight="1">
      <c r="A3" s="1"/>
      <c r="B3" s="6" t="s">
        <v>13</v>
      </c>
      <c r="C3" s="37"/>
      <c r="D3" s="38"/>
      <c r="E3" s="38"/>
      <c r="F3" s="38"/>
      <c r="G3" s="38"/>
      <c r="H3" s="38"/>
      <c r="I3" s="38"/>
      <c r="J3" s="38"/>
      <c r="K3" s="39"/>
    </row>
    <row r="4" spans="1:11" ht="35.25" customHeight="1">
      <c r="A4" s="1"/>
      <c r="B4" s="6" t="s">
        <v>14</v>
      </c>
      <c r="C4" s="31" t="s">
        <v>32</v>
      </c>
      <c r="D4" s="31"/>
      <c r="E4" s="31"/>
      <c r="F4" s="31"/>
      <c r="G4" s="31"/>
      <c r="H4" s="32" t="s">
        <v>15</v>
      </c>
      <c r="I4" s="32"/>
      <c r="J4" s="32" t="s">
        <v>16</v>
      </c>
      <c r="K4" s="32"/>
    </row>
    <row r="5" spans="1:11" ht="30" customHeight="1">
      <c r="A5" s="1"/>
      <c r="B5" s="8" t="s">
        <v>1</v>
      </c>
      <c r="C5" s="20" t="s">
        <v>2</v>
      </c>
      <c r="D5" s="20"/>
      <c r="E5" s="20"/>
      <c r="F5" s="20" t="s">
        <v>17</v>
      </c>
      <c r="G5" s="20"/>
      <c r="H5" s="7" t="s">
        <v>18</v>
      </c>
      <c r="I5" s="7" t="s">
        <v>27</v>
      </c>
      <c r="J5" s="7" t="s">
        <v>18</v>
      </c>
      <c r="K5" s="7" t="s">
        <v>27</v>
      </c>
    </row>
    <row r="6" spans="1:11" ht="64.5" customHeight="1">
      <c r="A6" s="1"/>
      <c r="B6" s="8" t="s">
        <v>19</v>
      </c>
      <c r="C6" s="25" t="s">
        <v>29</v>
      </c>
      <c r="D6" s="25"/>
      <c r="E6" s="25"/>
      <c r="F6" s="26"/>
      <c r="G6" s="26"/>
      <c r="H6" s="10">
        <v>0.3</v>
      </c>
      <c r="I6" s="10">
        <v>0.2</v>
      </c>
      <c r="J6" s="10">
        <v>0.3</v>
      </c>
      <c r="K6" s="10">
        <v>0.25</v>
      </c>
    </row>
    <row r="7" spans="1:11" ht="81.150000000000006" customHeight="1">
      <c r="A7" s="1"/>
      <c r="B7" s="8" t="s">
        <v>28</v>
      </c>
      <c r="C7" s="25" t="s">
        <v>20</v>
      </c>
      <c r="D7" s="25"/>
      <c r="E7" s="25"/>
      <c r="F7" s="26"/>
      <c r="G7" s="26"/>
      <c r="H7" s="10">
        <v>0.3</v>
      </c>
      <c r="I7" s="10">
        <v>0.2</v>
      </c>
      <c r="J7" s="10">
        <v>0.4</v>
      </c>
      <c r="K7" s="10">
        <v>0.25</v>
      </c>
    </row>
    <row r="8" spans="1:11" ht="53.4" customHeight="1">
      <c r="A8" s="1"/>
      <c r="B8" s="8" t="s">
        <v>26</v>
      </c>
      <c r="C8" s="27" t="s">
        <v>25</v>
      </c>
      <c r="D8" s="28"/>
      <c r="E8" s="25"/>
      <c r="F8" s="26"/>
      <c r="G8" s="26"/>
      <c r="H8" s="10">
        <v>0.1</v>
      </c>
      <c r="I8" s="10">
        <v>0.1</v>
      </c>
      <c r="J8" s="10">
        <v>0</v>
      </c>
      <c r="K8" s="10">
        <v>0</v>
      </c>
    </row>
    <row r="9" spans="1:11" ht="40.25" customHeight="1">
      <c r="A9" s="1"/>
      <c r="B9" s="8" t="s">
        <v>3</v>
      </c>
      <c r="C9" s="25" t="s">
        <v>21</v>
      </c>
      <c r="D9" s="25"/>
      <c r="E9" s="25"/>
      <c r="F9" s="26"/>
      <c r="G9" s="26"/>
      <c r="H9" s="10">
        <v>0.3</v>
      </c>
      <c r="I9" s="10">
        <v>0.5</v>
      </c>
      <c r="J9" s="10">
        <v>0.3</v>
      </c>
      <c r="K9" s="10">
        <v>0.5</v>
      </c>
    </row>
    <row r="10" spans="1:11" ht="50.4" customHeight="1">
      <c r="A10" s="1"/>
      <c r="B10" s="29" t="s">
        <v>22</v>
      </c>
      <c r="C10" s="29"/>
      <c r="D10" s="29"/>
      <c r="E10" s="30"/>
      <c r="F10" s="30"/>
      <c r="G10" s="30"/>
      <c r="H10" s="10">
        <f>SUM(H6:H9)</f>
        <v>1</v>
      </c>
      <c r="I10" s="10">
        <f>SUM(I6:I9)</f>
        <v>1</v>
      </c>
      <c r="J10" s="10">
        <f>SUM(J6:J9)</f>
        <v>1</v>
      </c>
      <c r="K10" s="10">
        <f>SUM(K6:K9)</f>
        <v>1</v>
      </c>
    </row>
    <row r="11" spans="1:11" ht="43.25" customHeight="1">
      <c r="A11" s="1"/>
      <c r="B11" s="22"/>
      <c r="C11" s="23"/>
      <c r="D11" s="23"/>
      <c r="E11" s="23"/>
      <c r="F11" s="23"/>
      <c r="G11" s="23"/>
      <c r="H11" s="23"/>
      <c r="I11" s="23"/>
      <c r="J11" s="23"/>
      <c r="K11" s="24"/>
    </row>
    <row r="12" spans="1:11" ht="31.75" customHeight="1">
      <c r="A12" s="1"/>
      <c r="B12" s="20" t="s">
        <v>4</v>
      </c>
      <c r="C12" s="20"/>
      <c r="D12" s="20"/>
      <c r="E12" s="20"/>
      <c r="F12" s="20" t="s">
        <v>5</v>
      </c>
      <c r="G12" s="20"/>
      <c r="H12" s="20"/>
      <c r="I12" s="20"/>
      <c r="J12" s="20"/>
      <c r="K12" s="20"/>
    </row>
    <row r="13" spans="1:11" ht="30" customHeight="1">
      <c r="A13" s="1"/>
      <c r="B13" s="20" t="s">
        <v>18</v>
      </c>
      <c r="C13" s="20"/>
      <c r="D13" s="9" t="str">
        <f>IFERROR(
            IF(
                INDEX([1]參數!$A:$D, MATCH(C2, [1]參數!$B:$B, 0), 4) = "員工",
                ROUND(SUM(F6*J6, F7*J7, F8*J8, F9*J9), 0),
                IF(
                    INDEX([1]參數!$A:$D, MATCH(C2, [1]參數!$B:$B, 0), 4) = "主管",
                    ROUND(SUM(F6*H6, F7*H7, F8*H8, F9*H9), 0),
                    ""
                )
            ),
            ""
        )</f>
        <v/>
      </c>
      <c r="E13" s="5" t="str" cm="1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1"/>
      <c r="G13" s="21"/>
      <c r="H13" s="21"/>
      <c r="I13" s="21"/>
      <c r="J13" s="21"/>
      <c r="K13" s="21"/>
    </row>
    <row r="14" spans="1:11" ht="30" customHeight="1">
      <c r="A14" s="1"/>
      <c r="B14" s="20" t="s">
        <v>23</v>
      </c>
      <c r="C14" s="20"/>
      <c r="D14" s="9" t="str">
        <f>IFERROR(
        IF(
            INDEX([1]參數!$A:$D, MATCH(C2, [1]參數!$B:$B, 0), 4) = "員工",
            ROUND(SUM(F6*K6, F7*K7, F8*K8, F9*K9), 0),
            IF(
                INDEX([1]參數!$A:$D, MATCH(C2, [1]參數!$B:$B, 0), 4) = "主管",
                ROUND(SUM(F6*I6, F7*I7, F8*I8, F9*I9), 0),
                ""
            )
        ),
        ""
    )</f>
        <v/>
      </c>
      <c r="E14" s="5" t="str" cm="1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1"/>
      <c r="G14" s="21"/>
      <c r="H14" s="21"/>
      <c r="I14" s="21"/>
      <c r="J14" s="21"/>
      <c r="K14" s="21"/>
    </row>
    <row r="15" spans="1:11" s="2" customFormat="1" ht="19.25" customHeight="1">
      <c r="B15" s="11" t="s">
        <v>24</v>
      </c>
      <c r="C15" s="12"/>
      <c r="D15" s="12"/>
      <c r="E15" s="12"/>
      <c r="F15" s="13"/>
      <c r="G15" s="14"/>
      <c r="H15" s="15"/>
      <c r="I15" s="15"/>
      <c r="J15" s="15"/>
      <c r="K15" s="15"/>
    </row>
    <row r="16" spans="1:11" s="2" customFormat="1">
      <c r="B16" s="11" t="s">
        <v>6</v>
      </c>
      <c r="C16" s="12"/>
      <c r="D16" s="12"/>
      <c r="E16" s="12"/>
      <c r="F16" s="14"/>
      <c r="G16" s="14"/>
      <c r="H16" s="15"/>
      <c r="I16" s="15"/>
      <c r="J16" s="15"/>
      <c r="K16" s="15"/>
    </row>
    <row r="17" spans="2:11" s="2" customFormat="1">
      <c r="B17" s="11" t="s">
        <v>7</v>
      </c>
      <c r="C17" s="12"/>
      <c r="D17" s="12"/>
      <c r="E17" s="12"/>
      <c r="F17" s="14"/>
      <c r="G17" s="14"/>
      <c r="H17" s="15"/>
      <c r="I17" s="15"/>
      <c r="J17" s="15"/>
      <c r="K17" s="15"/>
    </row>
    <row r="18" spans="2:11" s="2" customFormat="1">
      <c r="B18" s="11" t="s">
        <v>8</v>
      </c>
      <c r="C18" s="12"/>
      <c r="D18" s="12"/>
      <c r="E18" s="12"/>
      <c r="F18" s="14"/>
      <c r="G18" s="14"/>
      <c r="H18" s="15"/>
      <c r="I18" s="15"/>
      <c r="J18" s="15"/>
      <c r="K18" s="15"/>
    </row>
    <row r="19" spans="2:11" s="2" customFormat="1">
      <c r="B19" s="11" t="s">
        <v>9</v>
      </c>
      <c r="C19" s="12"/>
      <c r="D19" s="12"/>
      <c r="E19" s="12"/>
      <c r="F19" s="14"/>
      <c r="G19" s="14"/>
      <c r="H19" s="15"/>
      <c r="I19" s="15"/>
      <c r="J19" s="15"/>
      <c r="K19" s="15"/>
    </row>
    <row r="20" spans="2:11" s="2" customFormat="1">
      <c r="B20" s="11" t="s">
        <v>10</v>
      </c>
      <c r="C20" s="12"/>
      <c r="D20" s="12"/>
      <c r="E20" s="12"/>
      <c r="F20" s="14"/>
      <c r="G20" s="14"/>
      <c r="H20" s="15"/>
      <c r="I20" s="15"/>
      <c r="J20" s="15"/>
      <c r="K20" s="15"/>
    </row>
    <row r="21" spans="2:11" s="2" customFormat="1">
      <c r="B21" s="11" t="s">
        <v>11</v>
      </c>
      <c r="C21" s="12"/>
      <c r="D21" s="12"/>
      <c r="E21" s="12"/>
      <c r="F21" s="14"/>
      <c r="G21" s="14"/>
      <c r="H21" s="15"/>
      <c r="I21" s="15"/>
      <c r="J21" s="15"/>
      <c r="K21" s="15"/>
    </row>
    <row r="22" spans="2:11" s="2" customFormat="1">
      <c r="B22" s="11" t="s">
        <v>12</v>
      </c>
      <c r="C22" s="12"/>
      <c r="D22" s="12"/>
      <c r="E22" s="12"/>
      <c r="F22" s="14"/>
      <c r="G22" s="14"/>
      <c r="H22" s="15"/>
      <c r="I22" s="15"/>
      <c r="J22" s="15"/>
      <c r="K22" s="15"/>
    </row>
    <row r="23" spans="2:11" s="2" customFormat="1">
      <c r="B23" s="11"/>
      <c r="C23" s="12"/>
      <c r="D23" s="12"/>
      <c r="E23" s="12"/>
      <c r="F23" s="14"/>
      <c r="G23" s="14"/>
      <c r="H23" s="15"/>
      <c r="I23" s="15"/>
      <c r="J23" s="15"/>
      <c r="K23" s="15"/>
    </row>
    <row r="24" spans="2:11">
      <c r="B24" s="16"/>
    </row>
    <row r="25" spans="2:11">
      <c r="B25" s="16"/>
    </row>
  </sheetData>
  <sheetProtection algorithmName="SHA-512" hashValue="z6zCyYO+1ixaDZfCcGvGJIQEqJqgx1RWV6GtNq/dvjTgKQ1HEyik1CfUF/1JD+pop7XfvfI3NONZRp9cwo0NeQ==" saltValue="FpK8v4x4U+Vjdl5hOO/uIw==" spinCount="100000" sheet="1" selectLockedCells="1"/>
  <protectedRanges>
    <protectedRange algorithmName="SHA-512" hashValue="JG4QWFGrEW08kEntdruNVwncA5nr8i//pB5j2wyfxxo2pTmUYeHnN0OZwzzc0Rz1YZlN0VCP4qbUU509r+O8Ng==" saltValue="GPoIGkbkhJCGmOU4ssLbuQ==" spinCount="100000" sqref="D13:E14" name="範圍2"/>
    <protectedRange algorithmName="SHA-512" hashValue="UwssE0clEH0IhGcTTMFSMMiRY6GYabHOiS6cMDHm4/c61PGROv4iOp3/N7xrUoECVC1TXtyyQQ81lyp8JiFhIg==" saltValue="r7jnaIcrZQPavw8ZTC/XAg==" spinCount="100000" sqref="H6:K10" name="範圍1"/>
  </protectedRanges>
  <mergeCells count="26">
    <mergeCell ref="C4:G4"/>
    <mergeCell ref="H4:I4"/>
    <mergeCell ref="J4:K4"/>
    <mergeCell ref="B1:K1"/>
    <mergeCell ref="C2:E2"/>
    <mergeCell ref="F2:G2"/>
    <mergeCell ref="H2:K2"/>
    <mergeCell ref="C3:K3"/>
    <mergeCell ref="B11:K11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2:E12"/>
    <mergeCell ref="F12:K12"/>
    <mergeCell ref="B13:C13"/>
    <mergeCell ref="F13:K13"/>
    <mergeCell ref="B14:C14"/>
    <mergeCell ref="F14:K14"/>
  </mergeCells>
  <phoneticPr fontId="3" type="noConversion"/>
  <dataValidations count="2">
    <dataValidation type="whole" allowBlank="1" showInputMessage="1" showErrorMessage="1" error="請輸入0-100之間" sqref="F7:F9" xr:uid="{D4B14BCB-9028-48BF-B7B5-1B651FA95E9D}">
      <formula1>0</formula1>
      <formula2>100</formula2>
    </dataValidation>
    <dataValidation type="whole" allowBlank="1" showInputMessage="1" showErrorMessage="1" error="請輸入0-100之間" prompt="請輸入0-100之間" sqref="F6" xr:uid="{6984429E-B561-4554-BE5C-2F51D38D49F7}">
      <formula1>0</formula1>
      <formula2>100</formula2>
    </dataValidation>
  </dataValidations>
  <printOptions horizontalCentered="1"/>
  <pageMargins left="3.937007874015748E-2" right="3.937007874015748E-2" top="0.55118110236220474" bottom="0.74803149606299213" header="0.31496062992125984" footer="0.31496062992125984"/>
  <pageSetup paperSize="9" orientation="portrait" useFirstPageNumber="1" horizontalDpi="2147483648" verticalDpi="214748364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紀錄表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2026-06-03T13:02:31Z</dcterms:modified>
</cp:coreProperties>
</file>