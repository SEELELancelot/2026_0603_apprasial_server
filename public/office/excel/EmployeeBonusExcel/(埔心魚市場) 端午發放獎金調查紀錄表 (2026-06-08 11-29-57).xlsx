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<sst xmlns="http://schemas.openxmlformats.org/spreadsheetml/2006/main" count="127" uniqueCount="61">
  <si>
    <t>115年員工工作表現之端午獎金主管建議發放月份</t>
  </si>
  <si>
    <t xml:space="preserve">鰻意粽銷售表
(115/05/04 - 115/06/08)</t>
  </si>
  <si>
    <t>單位:埔心魚市場</t>
  </si>
  <si>
    <t>淨銷量</t>
  </si>
  <si>
    <t>淨銷額</t>
  </si>
  <si>
    <t>姓名</t>
  </si>
  <si>
    <t>職稱</t>
  </si>
  <si>
    <t>建議發放月份</t>
  </si>
  <si>
    <t/>
  </si>
  <si>
    <t>彭宸威</t>
  </si>
  <si>
    <t>幹事</t>
  </si>
  <si>
    <t>洪嘉南</t>
  </si>
  <si>
    <t>李財福</t>
  </si>
  <si>
    <t>洪立人</t>
  </si>
  <si>
    <t>林旭靖</t>
  </si>
  <si>
    <t>助理幹事</t>
  </si>
  <si>
    <t>洪慶宗</t>
  </si>
  <si>
    <t>陳英傑</t>
  </si>
  <si>
    <t>郭政鈞</t>
  </si>
  <si>
    <t>陳龍智</t>
  </si>
  <si>
    <t>陳慶宏</t>
  </si>
  <si>
    <t>葉維尊</t>
  </si>
  <si>
    <t>陳麗雯</t>
  </si>
  <si>
    <t>特約人員</t>
  </si>
  <si>
    <t>陳勇翰</t>
  </si>
  <si>
    <t>辜峻祐</t>
  </si>
  <si>
    <t>洪明志</t>
  </si>
  <si>
    <t>技工</t>
  </si>
  <si>
    <t>許書銘</t>
  </si>
  <si>
    <t>張錫仁</t>
  </si>
  <si>
    <t>許家閎</t>
  </si>
  <si>
    <t>工友</t>
  </si>
  <si>
    <t>顏志偉</t>
  </si>
  <si>
    <t>林聖翔</t>
  </si>
  <si>
    <t>彭有宏</t>
  </si>
  <si>
    <t>陳柏江</t>
  </si>
  <si>
    <t>何志宏</t>
  </si>
  <si>
    <t>0063</t>
  </si>
  <si>
    <t>埔心魚市場</t>
  </si>
  <si>
    <t>0104</t>
  </si>
  <si>
    <t>0054</t>
  </si>
  <si>
    <t>0121</t>
  </si>
  <si>
    <t>0137</t>
  </si>
  <si>
    <t>0131</t>
  </si>
  <si>
    <t>0130</t>
  </si>
  <si>
    <t>0129</t>
  </si>
  <si>
    <t>0128</t>
  </si>
  <si>
    <t>0126</t>
  </si>
  <si>
    <t>0125</t>
  </si>
  <si>
    <t>0161</t>
  </si>
  <si>
    <t>0179</t>
  </si>
  <si>
    <t>0181</t>
  </si>
  <si>
    <t>0133</t>
  </si>
  <si>
    <t>0132</t>
  </si>
  <si>
    <t>0123</t>
  </si>
  <si>
    <t>0141</t>
  </si>
  <si>
    <t>0140</t>
  </si>
  <si>
    <t>0139</t>
  </si>
  <si>
    <t>0136</t>
  </si>
  <si>
    <t>0135</t>
  </si>
  <si>
    <t>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</si>
</sst>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sheetData>
    <row r="1" spans="1:3" x14ac:dyDescent="0.25">
      <c r="A1" t="s">
        <v>37</v>
      </c>
      <c r="B1" t="s">
        <v>9</v>
      </c>
      <c r="C1" t="s">
        <v>38</v>
      </c>
    </row>
    <row r="2" spans="1:3" x14ac:dyDescent="0.25">
      <c r="A2" t="s">
        <v>39</v>
      </c>
      <c r="B2" t="s">
        <v>11</v>
      </c>
      <c r="C2" t="s">
        <v>38</v>
      </c>
    </row>
    <row r="3" spans="1:3" x14ac:dyDescent="0.25">
      <c r="A3" t="s">
        <v>40</v>
      </c>
      <c r="B3" t="s">
        <v>12</v>
      </c>
      <c r="C3" t="s">
        <v>38</v>
      </c>
    </row>
    <row r="4" spans="1:3" x14ac:dyDescent="0.25">
      <c r="A4" t="s">
        <v>41</v>
      </c>
      <c r="B4" t="s">
        <v>13</v>
      </c>
      <c r="C4" t="s">
        <v>38</v>
      </c>
    </row>
    <row r="5" spans="1:3" x14ac:dyDescent="0.25">
      <c r="A5" t="s">
        <v>42</v>
      </c>
      <c r="B5" t="s">
        <v>14</v>
      </c>
      <c r="C5" t="s">
        <v>38</v>
      </c>
    </row>
    <row r="6" spans="1:3" x14ac:dyDescent="0.25">
      <c r="A6" t="s">
        <v>43</v>
      </c>
      <c r="B6" t="s">
        <v>16</v>
      </c>
      <c r="C6" t="s">
        <v>38</v>
      </c>
    </row>
    <row r="7" spans="1:3" x14ac:dyDescent="0.25">
      <c r="A7" t="s">
        <v>44</v>
      </c>
      <c r="B7" t="s">
        <v>17</v>
      </c>
      <c r="C7" t="s">
        <v>38</v>
      </c>
    </row>
    <row r="8" spans="1:3" x14ac:dyDescent="0.25">
      <c r="A8" t="s">
        <v>45</v>
      </c>
      <c r="B8" t="s">
        <v>18</v>
      </c>
      <c r="C8" t="s">
        <v>38</v>
      </c>
    </row>
    <row r="9" spans="1:3" x14ac:dyDescent="0.25">
      <c r="A9" t="s">
        <v>46</v>
      </c>
      <c r="B9" t="s">
        <v>19</v>
      </c>
      <c r="C9" t="s">
        <v>38</v>
      </c>
    </row>
    <row r="10" spans="1:3" x14ac:dyDescent="0.25">
      <c r="A10" t="s">
        <v>47</v>
      </c>
      <c r="B10" t="s">
        <v>20</v>
      </c>
      <c r="C10" t="s">
        <v>38</v>
      </c>
    </row>
    <row r="11" spans="1:3" x14ac:dyDescent="0.25">
      <c r="A11" t="s">
        <v>48</v>
      </c>
      <c r="B11" t="s">
        <v>21</v>
      </c>
      <c r="C11" t="s">
        <v>38</v>
      </c>
    </row>
    <row r="12" spans="1:3" x14ac:dyDescent="0.25">
      <c r="A12" t="s">
        <v>49</v>
      </c>
      <c r="B12" t="s">
        <v>22</v>
      </c>
      <c r="C12" t="s">
        <v>38</v>
      </c>
    </row>
    <row r="13" spans="1:3" x14ac:dyDescent="0.25">
      <c r="A13" t="s">
        <v>50</v>
      </c>
      <c r="B13" t="s">
        <v>24</v>
      </c>
      <c r="C13" t="s">
        <v>38</v>
      </c>
    </row>
    <row r="14" spans="1:3" x14ac:dyDescent="0.25">
      <c r="A14" t="s">
        <v>51</v>
      </c>
      <c r="B14" t="s">
        <v>25</v>
      </c>
      <c r="C14" t="s">
        <v>38</v>
      </c>
    </row>
    <row r="15" spans="1:3" x14ac:dyDescent="0.25">
      <c r="A15" t="s">
        <v>52</v>
      </c>
      <c r="B15" t="s">
        <v>26</v>
      </c>
      <c r="C15" t="s">
        <v>38</v>
      </c>
    </row>
    <row r="16" spans="1:3" x14ac:dyDescent="0.25">
      <c r="A16" t="s">
        <v>53</v>
      </c>
      <c r="B16" t="s">
        <v>28</v>
      </c>
      <c r="C16" t="s">
        <v>38</v>
      </c>
    </row>
    <row r="17" spans="1:3" x14ac:dyDescent="0.25">
      <c r="A17" t="s">
        <v>54</v>
      </c>
      <c r="B17" t="s">
        <v>29</v>
      </c>
      <c r="C17" t="s">
        <v>38</v>
      </c>
    </row>
    <row r="18" spans="1:3" x14ac:dyDescent="0.25">
      <c r="A18" t="s">
        <v>55</v>
      </c>
      <c r="B18" t="s">
        <v>30</v>
      </c>
      <c r="C18" t="s">
        <v>38</v>
      </c>
    </row>
    <row r="19" spans="1:3" x14ac:dyDescent="0.25">
      <c r="A19" t="s">
        <v>56</v>
      </c>
      <c r="B19" t="s">
        <v>32</v>
      </c>
      <c r="C19" t="s">
        <v>38</v>
      </c>
    </row>
    <row r="20" spans="1:3" x14ac:dyDescent="0.25">
      <c r="A20" t="s">
        <v>57</v>
      </c>
      <c r="B20" t="s">
        <v>33</v>
      </c>
      <c r="C20" t="s">
        <v>38</v>
      </c>
    </row>
    <row r="21" spans="1:3" x14ac:dyDescent="0.25">
      <c r="A21" t="s">
        <v>58</v>
      </c>
      <c r="B21" t="s">
        <v>34</v>
      </c>
      <c r="C21" t="s">
        <v>38</v>
      </c>
    </row>
    <row r="22" spans="1:3" x14ac:dyDescent="0.25">
      <c r="A22" t="s">
        <v>59</v>
      </c>
      <c r="B22" t="s">
        <v>35</v>
      </c>
      <c r="C22" t="s">
        <v>38</v>
      </c>
    </row>
    <row r="23" spans="1:3" x14ac:dyDescent="0.25">
      <c r="A23" t="s">
        <v>60</v>
      </c>
      <c r="B23" t="s">
        <v>36</v>
      </c>
      <c r="C23" t="s">
        <v>38</v>
      </c>
    </row>
  </sheetData>
  <sheetProtection sheet="1" selectLockedCells="1" selectUnlockedCells="1" algorithmName="SHA-512" hashValue="btCtXKGYAm8WF+QCWRJXbXhoUREOGK0wFSis9TpDQ/6fwFq4aCBQ1+yk4xQU8AlX4WAov90D5FI+Iv9UnxS52A==" saltValue="o6E4TmymrDkNkJRx7iaOq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5</v>
      </c>
      <c r="M5" s="14">
        <v>4500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4</v>
      </c>
      <c r="M6" s="14">
        <v>3600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10</v>
      </c>
      <c r="C7" s="9"/>
      <c r="D7" s="9"/>
      <c r="E7" s="13"/>
      <c r="F7" s="13"/>
      <c r="G7" s="13"/>
      <c r="H7" s="13"/>
      <c r="I7" s="13"/>
      <c r="J7" s="13"/>
      <c r="L7" s="9">
        <v>3</v>
      </c>
      <c r="M7" s="14">
        <v>2700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10</v>
      </c>
      <c r="C8" s="9"/>
      <c r="D8" s="9"/>
      <c r="E8" s="13"/>
      <c r="F8" s="13"/>
      <c r="G8" s="13"/>
      <c r="H8" s="13"/>
      <c r="I8" s="13"/>
      <c r="J8" s="13"/>
      <c r="L8" s="9">
        <v>7</v>
      </c>
      <c r="M8" s="14">
        <v>6300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15</v>
      </c>
      <c r="C9" s="9"/>
      <c r="D9" s="9"/>
      <c r="E9" s="13"/>
      <c r="F9" s="13"/>
      <c r="G9" s="13"/>
      <c r="H9" s="13"/>
      <c r="I9" s="13"/>
      <c r="J9" s="13"/>
      <c r="L9" s="9">
        <v>3</v>
      </c>
      <c r="M9" s="14">
        <v>2700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16</v>
      </c>
      <c r="B10" s="9" t="s">
        <v>15</v>
      </c>
      <c r="C10" s="9"/>
      <c r="D10" s="9"/>
      <c r="E10" s="13"/>
      <c r="F10" s="13"/>
      <c r="G10" s="13"/>
      <c r="H10" s="13"/>
      <c r="I10" s="13"/>
      <c r="J10" s="13"/>
      <c r="L10" s="9">
        <v>3</v>
      </c>
      <c r="M10" s="14">
        <v>2700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17</v>
      </c>
      <c r="B11" s="9" t="s">
        <v>15</v>
      </c>
      <c r="C11" s="9"/>
      <c r="D11" s="9"/>
      <c r="E11" s="13"/>
      <c r="F11" s="13"/>
      <c r="G11" s="13"/>
      <c r="H11" s="13"/>
      <c r="I11" s="13"/>
      <c r="J11" s="13"/>
      <c r="L11" s="9">
        <v>3</v>
      </c>
      <c r="M11" s="14">
        <v>2700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18</v>
      </c>
      <c r="B12" s="9" t="s">
        <v>15</v>
      </c>
      <c r="C12" s="9"/>
      <c r="D12" s="9"/>
      <c r="E12" s="13"/>
      <c r="F12" s="13"/>
      <c r="G12" s="13"/>
      <c r="H12" s="13"/>
      <c r="I12" s="13"/>
      <c r="J12" s="13"/>
      <c r="L12" s="9">
        <v>3</v>
      </c>
      <c r="M12" s="14">
        <v>2700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19</v>
      </c>
      <c r="B13" s="9" t="s">
        <v>15</v>
      </c>
      <c r="C13" s="9"/>
      <c r="D13" s="9"/>
      <c r="E13" s="13"/>
      <c r="F13" s="13"/>
      <c r="G13" s="13"/>
      <c r="H13" s="13"/>
      <c r="I13" s="13"/>
      <c r="J13" s="13"/>
      <c r="L13" s="9">
        <v>3</v>
      </c>
      <c r="M13" s="14">
        <v>2700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20</v>
      </c>
      <c r="B14" s="9" t="s">
        <v>15</v>
      </c>
      <c r="C14" s="9"/>
      <c r="D14" s="9"/>
      <c r="E14" s="13"/>
      <c r="F14" s="13"/>
      <c r="G14" s="13"/>
      <c r="H14" s="13"/>
      <c r="I14" s="13"/>
      <c r="J14" s="13"/>
      <c r="L14" s="9">
        <v>3</v>
      </c>
      <c r="M14" s="14">
        <v>2700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21</v>
      </c>
      <c r="B15" s="9" t="s">
        <v>15</v>
      </c>
      <c r="C15" s="9"/>
      <c r="D15" s="9"/>
      <c r="E15" s="13"/>
      <c r="F15" s="13"/>
      <c r="G15" s="13"/>
      <c r="H15" s="13"/>
      <c r="I15" s="13"/>
      <c r="J15" s="13"/>
      <c r="L15" s="9">
        <v>8</v>
      </c>
      <c r="M15" s="14">
        <v>7200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  <row r="16" ht="30" customHeight="1" spans="1:18" x14ac:dyDescent="0.25">
      <c r="A16" s="9" t="s">
        <v>22</v>
      </c>
      <c r="B16" s="9" t="s">
        <v>23</v>
      </c>
      <c r="C16" s="9"/>
      <c r="D16" s="9"/>
      <c r="E16" s="13"/>
      <c r="F16" s="13"/>
      <c r="G16" s="13"/>
      <c r="H16" s="13"/>
      <c r="I16" s="13"/>
      <c r="J16" s="13"/>
      <c r="L16" s="9">
        <v>5</v>
      </c>
      <c r="M16" s="14">
        <v>4500</v>
      </c>
      <c r="O16" s="15" t="str">
        <f>IF((E16="✔")+(G16="✔")+(I16="✔")=0,"請於本列擇一打 ✔",IF((E16="✔")+(G16="✔")+(I16="✔")&gt;1,"請選擇唯一一項建議發放月份",""))</f>
        <v>請於本列擇一打 ✔</v>
      </c>
      <c r="P16" s="15"/>
      <c r="Q16" s="15"/>
      <c r="R16" s="15"/>
    </row>
    <row r="17" ht="30" customHeight="1" spans="1:18" x14ac:dyDescent="0.25">
      <c r="A17" s="9" t="s">
        <v>24</v>
      </c>
      <c r="B17" s="9" t="s">
        <v>23</v>
      </c>
      <c r="C17" s="9"/>
      <c r="D17" s="9"/>
      <c r="E17" s="13"/>
      <c r="F17" s="13"/>
      <c r="G17" s="13"/>
      <c r="H17" s="13"/>
      <c r="I17" s="13"/>
      <c r="J17" s="13"/>
      <c r="L17" s="9">
        <v>3</v>
      </c>
      <c r="M17" s="14">
        <v>2700</v>
      </c>
      <c r="O17" s="15" t="str">
        <f>IF((E17="✔")+(G17="✔")+(I17="✔")=0,"請於本列擇一打 ✔",IF((E17="✔")+(G17="✔")+(I17="✔")&gt;1,"請選擇唯一一項建議發放月份",""))</f>
        <v>請於本列擇一打 ✔</v>
      </c>
      <c r="P17" s="15"/>
      <c r="Q17" s="15"/>
      <c r="R17" s="15"/>
    </row>
    <row r="18" ht="30" customHeight="1" spans="1:18" x14ac:dyDescent="0.25">
      <c r="A18" s="9" t="s">
        <v>25</v>
      </c>
      <c r="B18" s="9" t="s">
        <v>23</v>
      </c>
      <c r="C18" s="9"/>
      <c r="D18" s="9"/>
      <c r="E18" s="13"/>
      <c r="F18" s="13"/>
      <c r="G18" s="13"/>
      <c r="H18" s="13"/>
      <c r="I18" s="13"/>
      <c r="J18" s="13"/>
      <c r="L18" s="9">
        <v>8</v>
      </c>
      <c r="M18" s="14">
        <v>7200</v>
      </c>
      <c r="O18" s="15" t="str">
        <f>IF((E18="✔")+(G18="✔")+(I18="✔")=0,"請於本列擇一打 ✔",IF((E18="✔")+(G18="✔")+(I18="✔")&gt;1,"請選擇唯一一項建議發放月份",""))</f>
        <v>請於本列擇一打 ✔</v>
      </c>
      <c r="P18" s="15"/>
      <c r="Q18" s="15"/>
      <c r="R18" s="15"/>
    </row>
    <row r="19" ht="30" customHeight="1" spans="1:18" x14ac:dyDescent="0.25">
      <c r="A19" s="9" t="s">
        <v>26</v>
      </c>
      <c r="B19" s="9" t="s">
        <v>27</v>
      </c>
      <c r="C19" s="9"/>
      <c r="D19" s="9"/>
      <c r="E19" s="13"/>
      <c r="F19" s="13"/>
      <c r="G19" s="13"/>
      <c r="H19" s="13"/>
      <c r="I19" s="13"/>
      <c r="J19" s="13"/>
      <c r="L19" s="9">
        <v>15</v>
      </c>
      <c r="M19" s="14">
        <v>13500</v>
      </c>
      <c r="O19" s="15" t="str">
        <f>IF((E19="✔")+(G19="✔")+(I19="✔")=0,"請於本列擇一打 ✔",IF((E19="✔")+(G19="✔")+(I19="✔")&gt;1,"請選擇唯一一項建議發放月份",""))</f>
        <v>請於本列擇一打 ✔</v>
      </c>
      <c r="P19" s="15"/>
      <c r="Q19" s="15"/>
      <c r="R19" s="15"/>
    </row>
    <row r="20" ht="30" customHeight="1" spans="1:18" x14ac:dyDescent="0.25">
      <c r="A20" s="9" t="s">
        <v>28</v>
      </c>
      <c r="B20" s="9" t="s">
        <v>27</v>
      </c>
      <c r="C20" s="9"/>
      <c r="D20" s="9"/>
      <c r="E20" s="13"/>
      <c r="F20" s="13"/>
      <c r="G20" s="13"/>
      <c r="H20" s="13"/>
      <c r="I20" s="13"/>
      <c r="J20" s="13"/>
      <c r="L20" s="9">
        <v>5</v>
      </c>
      <c r="M20" s="14">
        <v>4500</v>
      </c>
      <c r="O20" s="15" t="str">
        <f>IF((E20="✔")+(G20="✔")+(I20="✔")=0,"請於本列擇一打 ✔",IF((E20="✔")+(G20="✔")+(I20="✔")&gt;1,"請選擇唯一一項建議發放月份",""))</f>
        <v>請於本列擇一打 ✔</v>
      </c>
      <c r="P20" s="15"/>
      <c r="Q20" s="15"/>
      <c r="R20" s="15"/>
    </row>
    <row r="21" ht="30" customHeight="1" spans="1:18" x14ac:dyDescent="0.25">
      <c r="A21" s="9" t="s">
        <v>29</v>
      </c>
      <c r="B21" s="9" t="s">
        <v>27</v>
      </c>
      <c r="C21" s="9"/>
      <c r="D21" s="9"/>
      <c r="E21" s="13"/>
      <c r="F21" s="13"/>
      <c r="G21" s="13"/>
      <c r="H21" s="13"/>
      <c r="I21" s="13"/>
      <c r="J21" s="13"/>
      <c r="L21" s="9">
        <v>0</v>
      </c>
      <c r="M21" s="14">
        <v>0</v>
      </c>
      <c r="O21" s="15" t="str">
        <f>IF((E21="✔")+(G21="✔")+(I21="✔")=0,"請於本列擇一打 ✔",IF((E21="✔")+(G21="✔")+(I21="✔")&gt;1,"請選擇唯一一項建議發放月份",""))</f>
        <v>請於本列擇一打 ✔</v>
      </c>
      <c r="P21" s="15"/>
      <c r="Q21" s="15"/>
      <c r="R21" s="15"/>
    </row>
    <row r="22" ht="30" customHeight="1" spans="1:18" x14ac:dyDescent="0.25">
      <c r="A22" s="9" t="s">
        <v>30</v>
      </c>
      <c r="B22" s="9" t="s">
        <v>31</v>
      </c>
      <c r="C22" s="9"/>
      <c r="D22" s="9"/>
      <c r="E22" s="13"/>
      <c r="F22" s="13"/>
      <c r="G22" s="13"/>
      <c r="H22" s="13"/>
      <c r="I22" s="13"/>
      <c r="J22" s="13"/>
      <c r="L22" s="9">
        <v>3</v>
      </c>
      <c r="M22" s="14">
        <v>2700</v>
      </c>
      <c r="O22" s="15" t="str">
        <f>IF((E22="✔")+(G22="✔")+(I22="✔")=0,"請於本列擇一打 ✔",IF((E22="✔")+(G22="✔")+(I22="✔")&gt;1,"請選擇唯一一項建議發放月份",""))</f>
        <v>請於本列擇一打 ✔</v>
      </c>
      <c r="P22" s="15"/>
      <c r="Q22" s="15"/>
      <c r="R22" s="15"/>
    </row>
    <row r="23" ht="30" customHeight="1" spans="1:18" x14ac:dyDescent="0.25">
      <c r="A23" s="9" t="s">
        <v>32</v>
      </c>
      <c r="B23" s="9" t="s">
        <v>31</v>
      </c>
      <c r="C23" s="9"/>
      <c r="D23" s="9"/>
      <c r="E23" s="13"/>
      <c r="F23" s="13"/>
      <c r="G23" s="13"/>
      <c r="H23" s="13"/>
      <c r="I23" s="13"/>
      <c r="J23" s="13"/>
      <c r="L23" s="9">
        <v>8</v>
      </c>
      <c r="M23" s="14">
        <v>7200</v>
      </c>
      <c r="O23" s="15" t="str">
        <f>IF((E23="✔")+(G23="✔")+(I23="✔")=0,"請於本列擇一打 ✔",IF((E23="✔")+(G23="✔")+(I23="✔")&gt;1,"請選擇唯一一項建議發放月份",""))</f>
        <v>請於本列擇一打 ✔</v>
      </c>
      <c r="P23" s="15"/>
      <c r="Q23" s="15"/>
      <c r="R23" s="15"/>
    </row>
    <row r="24" ht="30" customHeight="1" spans="1:18" x14ac:dyDescent="0.25">
      <c r="A24" s="9" t="s">
        <v>33</v>
      </c>
      <c r="B24" s="9" t="s">
        <v>31</v>
      </c>
      <c r="C24" s="9"/>
      <c r="D24" s="9"/>
      <c r="E24" s="13"/>
      <c r="F24" s="13"/>
      <c r="G24" s="13"/>
      <c r="H24" s="13"/>
      <c r="I24" s="13"/>
      <c r="J24" s="13"/>
      <c r="L24" s="9">
        <v>3</v>
      </c>
      <c r="M24" s="14">
        <v>2700</v>
      </c>
      <c r="O24" s="15" t="str">
        <f>IF((E24="✔")+(G24="✔")+(I24="✔")=0,"請於本列擇一打 ✔",IF((E24="✔")+(G24="✔")+(I24="✔")&gt;1,"請選擇唯一一項建議發放月份",""))</f>
        <v>請於本列擇一打 ✔</v>
      </c>
      <c r="P24" s="15"/>
      <c r="Q24" s="15"/>
      <c r="R24" s="15"/>
    </row>
    <row r="25" ht="30" customHeight="1" spans="1:18" x14ac:dyDescent="0.25">
      <c r="A25" s="9" t="s">
        <v>34</v>
      </c>
      <c r="B25" s="9" t="s">
        <v>31</v>
      </c>
      <c r="C25" s="9"/>
      <c r="D25" s="9"/>
      <c r="E25" s="13"/>
      <c r="F25" s="13"/>
      <c r="G25" s="13"/>
      <c r="H25" s="13"/>
      <c r="I25" s="13"/>
      <c r="J25" s="13"/>
      <c r="L25" s="9">
        <v>3</v>
      </c>
      <c r="M25" s="14">
        <v>2700</v>
      </c>
      <c r="O25" s="15" t="str">
        <f>IF((E25="✔")+(G25="✔")+(I25="✔")=0,"請於本列擇一打 ✔",IF((E25="✔")+(G25="✔")+(I25="✔")&gt;1,"請選擇唯一一項建議發放月份",""))</f>
        <v>請於本列擇一打 ✔</v>
      </c>
      <c r="P25" s="15"/>
      <c r="Q25" s="15"/>
      <c r="R25" s="15"/>
    </row>
    <row r="26" ht="30" customHeight="1" spans="1:18" x14ac:dyDescent="0.25">
      <c r="A26" s="9" t="s">
        <v>35</v>
      </c>
      <c r="B26" s="9" t="s">
        <v>31</v>
      </c>
      <c r="C26" s="9"/>
      <c r="D26" s="9"/>
      <c r="E26" s="13"/>
      <c r="F26" s="13"/>
      <c r="G26" s="13"/>
      <c r="H26" s="13"/>
      <c r="I26" s="13"/>
      <c r="J26" s="13"/>
      <c r="L26" s="9">
        <v>3</v>
      </c>
      <c r="M26" s="14">
        <v>2700</v>
      </c>
      <c r="O26" s="15" t="str">
        <f>IF((E26="✔")+(G26="✔")+(I26="✔")=0,"請於本列擇一打 ✔",IF((E26="✔")+(G26="✔")+(I26="✔")&gt;1,"請選擇唯一一項建議發放月份",""))</f>
        <v>請於本列擇一打 ✔</v>
      </c>
      <c r="P26" s="15"/>
      <c r="Q26" s="15"/>
      <c r="R26" s="15"/>
    </row>
    <row r="27" ht="30" customHeight="1" spans="1:18" x14ac:dyDescent="0.25">
      <c r="A27" s="9" t="s">
        <v>36</v>
      </c>
      <c r="B27" s="9" t="s">
        <v>31</v>
      </c>
      <c r="C27" s="9"/>
      <c r="D27" s="9"/>
      <c r="E27" s="13"/>
      <c r="F27" s="13"/>
      <c r="G27" s="13"/>
      <c r="H27" s="13"/>
      <c r="I27" s="13"/>
      <c r="J27" s="13"/>
      <c r="L27" s="9">
        <v>4</v>
      </c>
      <c r="M27" s="14">
        <v>3600</v>
      </c>
      <c r="O27" s="15" t="str">
        <f>IF((E27="✔")+(G27="✔")+(I27="✔")=0,"請於本列擇一打 ✔",IF((E27="✔")+(G27="✔")+(I27="✔")&gt;1,"請選擇唯一一項建議發放月份",""))</f>
        <v>請於本列擇一打 ✔</v>
      </c>
      <c r="P27" s="15"/>
      <c r="Q27" s="15"/>
      <c r="R27" s="15"/>
    </row>
    <row r="28" ht="30" customHeight="1" spans="12:13" x14ac:dyDescent="0.25">
      <c r="L28" s="6">
        <v>105</v>
      </c>
      <c r="M28" s="16">
        <v>94500</v>
      </c>
    </row>
  </sheetData>
  <sheetProtection sheet="1" selectLockedCells="1" algorithmName="SHA-512" hashValue="MfTjJ70OhSr4PXH4xxTPgYm5WFEeKX9HmqDjFHMlYL5Mm3mOGyAPl78GBWIiVnOuRxPtqzJzYkM4sLsNIDLgiw==" saltValue="AIAehVx/5Dt3w/oGMmIhNw==" spinCount="100000"/>
  <mergeCells count="12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conditionalFormatting sqref="O16:R16">
    <cfRule type="expression" dxfId="11" priority="12">
      <formula>(E16="✔")+(G16="✔")+(I16="✔")&gt;1</formula>
    </cfRule>
  </conditionalFormatting>
  <conditionalFormatting sqref="O17:R17">
    <cfRule type="expression" dxfId="12" priority="13">
      <formula>(E17="✔")+(G17="✔")+(I17="✔")&gt;1</formula>
    </cfRule>
  </conditionalFormatting>
  <conditionalFormatting sqref="O18:R18">
    <cfRule type="expression" dxfId="13" priority="14">
      <formula>(E18="✔")+(G18="✔")+(I18="✔")&gt;1</formula>
    </cfRule>
  </conditionalFormatting>
  <conditionalFormatting sqref="O19:R19">
    <cfRule type="expression" dxfId="14" priority="15">
      <formula>(E19="✔")+(G19="✔")+(I19="✔")&gt;1</formula>
    </cfRule>
  </conditionalFormatting>
  <conditionalFormatting sqref="O20:R20">
    <cfRule type="expression" dxfId="15" priority="16">
      <formula>(E20="✔")+(G20="✔")+(I20="✔")&gt;1</formula>
    </cfRule>
  </conditionalFormatting>
  <conditionalFormatting sqref="O21:R21">
    <cfRule type="expression" dxfId="16" priority="17">
      <formula>(E21="✔")+(G21="✔")+(I21="✔")&gt;1</formula>
    </cfRule>
  </conditionalFormatting>
  <conditionalFormatting sqref="O22:R22">
    <cfRule type="expression" dxfId="17" priority="18">
      <formula>(E22="✔")+(G22="✔")+(I22="✔")&gt;1</formula>
    </cfRule>
  </conditionalFormatting>
  <conditionalFormatting sqref="O23:R23">
    <cfRule type="expression" dxfId="18" priority="19">
      <formula>(E23="✔")+(G23="✔")+(I23="✔")&gt;1</formula>
    </cfRule>
  </conditionalFormatting>
  <conditionalFormatting sqref="O24:R24">
    <cfRule type="expression" dxfId="19" priority="20">
      <formula>(E24="✔")+(G24="✔")+(I24="✔")&gt;1</formula>
    </cfRule>
  </conditionalFormatting>
  <conditionalFormatting sqref="O25:R25">
    <cfRule type="expression" dxfId="20" priority="21">
      <formula>(E25="✔")+(G25="✔")+(I25="✔")&gt;1</formula>
    </cfRule>
  </conditionalFormatting>
  <conditionalFormatting sqref="O26:R26">
    <cfRule type="expression" dxfId="21" priority="22">
      <formula>(E26="✔")+(G26="✔")+(I26="✔")&gt;1</formula>
    </cfRule>
  </conditionalFormatting>
  <conditionalFormatting sqref="O27:R27">
    <cfRule type="expression" dxfId="22" priority="23">
      <formula>(E27="✔")+(G27="✔")+(I27="✔")&gt;1</formula>
    </cfRule>
  </conditionalFormatting>
  <dataValidations count="6">
    <dataValidation type="list" allowBlank="1" showErrorMessage="1" errorTitle="輸入錯誤" error="請從選單中選擇 ✔ 或留空" sqref="E10:E27">
      <formula1>"✔,"</formula1>
    </dataValidation>
    <dataValidation type="list" allowBlank="1" showErrorMessage="1" errorTitle="輸入錯誤" error="請從選單中選擇 ✔ 或留空" sqref="E5:E27">
      <formula1>"✔,"</formula1>
    </dataValidation>
    <dataValidation type="list" allowBlank="1" showErrorMessage="1" errorTitle="輸入錯誤" error="請從選單中選擇 ✔ 或留空" sqref="G10:G27">
      <formula1>"✔,"</formula1>
    </dataValidation>
    <dataValidation type="list" allowBlank="1" showErrorMessage="1" errorTitle="輸入錯誤" error="請從選單中選擇 ✔ 或留空" sqref="G5:G27">
      <formula1>"✔,"</formula1>
    </dataValidation>
    <dataValidation type="list" allowBlank="1" showErrorMessage="1" errorTitle="輸入錯誤" error="請從選單中選擇 ✔ 或留空" sqref="I10:I27">
      <formula1>"✔,"</formula1>
    </dataValidation>
    <dataValidation type="list" allowBlank="1" showErrorMessage="1" errorTitle="輸入錯誤" error="請從選單中選擇 ✔ 或留空" sqref="I5:I2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