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<sst xmlns="http://schemas.openxmlformats.org/spreadsheetml/2006/main" count="67" uniqueCount="36">
  <si>
    <t>115年員工工作表現之端午獎金主管建議發放月份</t>
  </si>
  <si>
    <t xml:space="preserve">鰻意粽銷售表
(115/05/04 - 115/06/08)</t>
  </si>
  <si>
    <t>單位:王功分部</t>
  </si>
  <si>
    <t>淨銷量</t>
  </si>
  <si>
    <t>淨銷額</t>
  </si>
  <si>
    <t>姓名</t>
  </si>
  <si>
    <t>職稱</t>
  </si>
  <si>
    <t>建議發放月份</t>
  </si>
  <si>
    <t/>
  </si>
  <si>
    <t>黃順發</t>
  </si>
  <si>
    <t>專員</t>
  </si>
  <si>
    <t>黃新波</t>
  </si>
  <si>
    <t>幹事</t>
  </si>
  <si>
    <t>陳俞璇</t>
  </si>
  <si>
    <t>陳雅貞</t>
  </si>
  <si>
    <t>洪孟佳</t>
  </si>
  <si>
    <t>助理幹事</t>
  </si>
  <si>
    <t>陳君宜</t>
  </si>
  <si>
    <t>林奕瑋</t>
  </si>
  <si>
    <t>陳怡均</t>
  </si>
  <si>
    <t>吳秉芸</t>
  </si>
  <si>
    <t>陳泳霖</t>
  </si>
  <si>
    <t>陳金鳳</t>
  </si>
  <si>
    <t>技工</t>
  </si>
  <si>
    <t>0065</t>
  </si>
  <si>
    <t>王功分部</t>
  </si>
  <si>
    <t>0074</t>
  </si>
  <si>
    <t>0069</t>
  </si>
  <si>
    <t>0093</t>
  </si>
  <si>
    <t>0105</t>
  </si>
  <si>
    <t>0168</t>
  </si>
  <si>
    <t>0100</t>
  </si>
  <si>
    <t>0099</t>
  </si>
  <si>
    <t>0098</t>
  </si>
  <si>
    <t>0096</t>
  </si>
  <si>
    <t>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</si>
</sst>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24</v>
      </c>
      <c r="B1" t="s">
        <v>9</v>
      </c>
      <c r="C1" t="s">
        <v>25</v>
      </c>
    </row>
    <row r="2" spans="1:3" x14ac:dyDescent="0.25">
      <c r="A2" t="s">
        <v>26</v>
      </c>
      <c r="B2" t="s">
        <v>11</v>
      </c>
      <c r="C2" t="s">
        <v>25</v>
      </c>
    </row>
    <row r="3" spans="1:3" x14ac:dyDescent="0.25">
      <c r="A3" t="s">
        <v>27</v>
      </c>
      <c r="B3" t="s">
        <v>13</v>
      </c>
      <c r="C3" t="s">
        <v>25</v>
      </c>
    </row>
    <row r="4" spans="1:3" x14ac:dyDescent="0.25">
      <c r="A4" t="s">
        <v>28</v>
      </c>
      <c r="B4" t="s">
        <v>14</v>
      </c>
      <c r="C4" t="s">
        <v>25</v>
      </c>
    </row>
    <row r="5" spans="1:3" x14ac:dyDescent="0.25">
      <c r="A5" t="s">
        <v>29</v>
      </c>
      <c r="B5" t="s">
        <v>15</v>
      </c>
      <c r="C5" t="s">
        <v>25</v>
      </c>
    </row>
    <row r="6" spans="1:3" x14ac:dyDescent="0.25">
      <c r="A6" t="s">
        <v>30</v>
      </c>
      <c r="B6" t="s">
        <v>17</v>
      </c>
      <c r="C6" t="s">
        <v>25</v>
      </c>
    </row>
    <row r="7" spans="1:3" x14ac:dyDescent="0.25">
      <c r="A7" t="s">
        <v>31</v>
      </c>
      <c r="B7" t="s">
        <v>18</v>
      </c>
      <c r="C7" t="s">
        <v>25</v>
      </c>
    </row>
    <row r="8" spans="1:3" x14ac:dyDescent="0.25">
      <c r="A8" t="s">
        <v>32</v>
      </c>
      <c r="B8" t="s">
        <v>19</v>
      </c>
      <c r="C8" t="s">
        <v>25</v>
      </c>
    </row>
    <row r="9" spans="1:3" x14ac:dyDescent="0.25">
      <c r="A9" t="s">
        <v>33</v>
      </c>
      <c r="B9" t="s">
        <v>20</v>
      </c>
      <c r="C9" t="s">
        <v>25</v>
      </c>
    </row>
    <row r="10" spans="1:3" x14ac:dyDescent="0.25">
      <c r="A10" t="s">
        <v>34</v>
      </c>
      <c r="B10" t="s">
        <v>21</v>
      </c>
      <c r="C10" t="s">
        <v>25</v>
      </c>
    </row>
    <row r="11" spans="1:3" x14ac:dyDescent="0.25">
      <c r="A11" t="s">
        <v>35</v>
      </c>
      <c r="B11" t="s">
        <v>22</v>
      </c>
      <c r="C11" t="s">
        <v>25</v>
      </c>
    </row>
  </sheetData>
  <sheetProtection sheet="1" selectLockedCells="1" selectUnlockedCells="1" algorithmName="SHA-512" hashValue="bB3S4GE9iB1Lh3oy5FrvlXXgo4HTZ0iAlWzrfGeg3CTIz7TZibMm9lZ2p4yC+oitf+4yRNU885I9QAjhp7TOgA==" saltValue="7C2BF7WaYDuKFKC+PGuCE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3</v>
      </c>
      <c r="M5" s="14">
        <v>2700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5</v>
      </c>
      <c r="M6" s="14">
        <v>4500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/>
      <c r="J7" s="13"/>
      <c r="L7" s="9">
        <v>3</v>
      </c>
      <c r="M7" s="14">
        <v>2700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/>
      <c r="J8" s="13"/>
      <c r="L8" s="9">
        <v>4</v>
      </c>
      <c r="M8" s="14">
        <v>3600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3"/>
      <c r="J9" s="13"/>
      <c r="L9" s="9">
        <v>5</v>
      </c>
      <c r="M9" s="14">
        <v>4500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17</v>
      </c>
      <c r="B10" s="9" t="s">
        <v>16</v>
      </c>
      <c r="C10" s="9"/>
      <c r="D10" s="9"/>
      <c r="E10" s="13"/>
      <c r="F10" s="13"/>
      <c r="G10" s="13"/>
      <c r="H10" s="13"/>
      <c r="I10" s="13"/>
      <c r="J10" s="13"/>
      <c r="L10" s="9">
        <v>3</v>
      </c>
      <c r="M10" s="14">
        <v>2700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18</v>
      </c>
      <c r="B11" s="9" t="s">
        <v>16</v>
      </c>
      <c r="C11" s="9"/>
      <c r="D11" s="9"/>
      <c r="E11" s="13"/>
      <c r="F11" s="13"/>
      <c r="G11" s="13"/>
      <c r="H11" s="13"/>
      <c r="I11" s="13"/>
      <c r="J11" s="13"/>
      <c r="L11" s="9">
        <v>5</v>
      </c>
      <c r="M11" s="14">
        <v>4500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:18" x14ac:dyDescent="0.25">
      <c r="A12" s="9" t="s">
        <v>19</v>
      </c>
      <c r="B12" s="9" t="s">
        <v>16</v>
      </c>
      <c r="C12" s="9"/>
      <c r="D12" s="9"/>
      <c r="E12" s="13"/>
      <c r="F12" s="13"/>
      <c r="G12" s="13"/>
      <c r="H12" s="13"/>
      <c r="I12" s="13"/>
      <c r="J12" s="13"/>
      <c r="L12" s="9">
        <v>3</v>
      </c>
      <c r="M12" s="14">
        <v>2700</v>
      </c>
      <c r="O12" s="15" t="str">
        <f>IF((E12="✔")+(G12="✔")+(I12="✔")=0,"請於本列擇一打 ✔",IF((E12="✔")+(G12="✔")+(I12="✔")&gt;1,"請選擇唯一一項建議發放月份",""))</f>
        <v>請於本列擇一打 ✔</v>
      </c>
      <c r="P12" s="15"/>
      <c r="Q12" s="15"/>
      <c r="R12" s="15"/>
    </row>
    <row r="13" ht="30" customHeight="1" spans="1:18" x14ac:dyDescent="0.25">
      <c r="A13" s="9" t="s">
        <v>20</v>
      </c>
      <c r="B13" s="9" t="s">
        <v>16</v>
      </c>
      <c r="C13" s="9"/>
      <c r="D13" s="9"/>
      <c r="E13" s="13"/>
      <c r="F13" s="13"/>
      <c r="G13" s="13"/>
      <c r="H13" s="13"/>
      <c r="I13" s="13"/>
      <c r="J13" s="13"/>
      <c r="L13" s="9">
        <v>6</v>
      </c>
      <c r="M13" s="14">
        <v>5400</v>
      </c>
      <c r="O13" s="15" t="str">
        <f>IF((E13="✔")+(G13="✔")+(I13="✔")=0,"請於本列擇一打 ✔",IF((E13="✔")+(G13="✔")+(I13="✔")&gt;1,"請選擇唯一一項建議發放月份",""))</f>
        <v>請於本列擇一打 ✔</v>
      </c>
      <c r="P13" s="15"/>
      <c r="Q13" s="15"/>
      <c r="R13" s="15"/>
    </row>
    <row r="14" ht="30" customHeight="1" spans="1:18" x14ac:dyDescent="0.25">
      <c r="A14" s="9" t="s">
        <v>21</v>
      </c>
      <c r="B14" s="9" t="s">
        <v>16</v>
      </c>
      <c r="C14" s="9"/>
      <c r="D14" s="9"/>
      <c r="E14" s="13"/>
      <c r="F14" s="13"/>
      <c r="G14" s="13"/>
      <c r="H14" s="13"/>
      <c r="I14" s="13"/>
      <c r="J14" s="13"/>
      <c r="L14" s="9">
        <v>10</v>
      </c>
      <c r="M14" s="14">
        <v>9000</v>
      </c>
      <c r="O14" s="15" t="str">
        <f>IF((E14="✔")+(G14="✔")+(I14="✔")=0,"請於本列擇一打 ✔",IF((E14="✔")+(G14="✔")+(I14="✔")&gt;1,"請選擇唯一一項建議發放月份",""))</f>
        <v>請於本列擇一打 ✔</v>
      </c>
      <c r="P14" s="15"/>
      <c r="Q14" s="15"/>
      <c r="R14" s="15"/>
    </row>
    <row r="15" ht="30" customHeight="1" spans="1:18" x14ac:dyDescent="0.25">
      <c r="A15" s="9" t="s">
        <v>22</v>
      </c>
      <c r="B15" s="9" t="s">
        <v>23</v>
      </c>
      <c r="C15" s="9"/>
      <c r="D15" s="9"/>
      <c r="E15" s="13"/>
      <c r="F15" s="13"/>
      <c r="G15" s="13"/>
      <c r="H15" s="13"/>
      <c r="I15" s="13"/>
      <c r="J15" s="13"/>
      <c r="L15" s="9">
        <v>6</v>
      </c>
      <c r="M15" s="14">
        <v>5400</v>
      </c>
      <c r="O15" s="15" t="str">
        <f>IF((E15="✔")+(G15="✔")+(I15="✔")=0,"請於本列擇一打 ✔",IF((E15="✔")+(G15="✔")+(I15="✔")&gt;1,"請選擇唯一一項建議發放月份",""))</f>
        <v>請於本列擇一打 ✔</v>
      </c>
      <c r="P15" s="15"/>
      <c r="Q15" s="15"/>
      <c r="R15" s="15"/>
    </row>
    <row r="16" ht="30" customHeight="1" spans="12:13" x14ac:dyDescent="0.25">
      <c r="L16" s="6">
        <v>53</v>
      </c>
      <c r="M16" s="16">
        <v>47700</v>
      </c>
    </row>
  </sheetData>
  <sheetProtection sheet="1" selectLockedCells="1" algorithmName="SHA-512" hashValue="O19JfC87eItJzFxrTnfsmfPohCdImrL/J6nkfwxA7VrC/HJpIJhy8bkp5tpRpTJ98ZZjf39GlJ6UTYY8jpe06w==" saltValue="SxTBdkVXav96gNzs3RlNJQ==" spinCount="100000"/>
  <mergeCells count="6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conditionalFormatting sqref="O12:R12">
    <cfRule type="expression" dxfId="7" priority="8">
      <formula>(E12="✔")+(G12="✔")+(I12="✔")&gt;1</formula>
    </cfRule>
  </conditionalFormatting>
  <conditionalFormatting sqref="O13:R13">
    <cfRule type="expression" dxfId="8" priority="9">
      <formula>(E13="✔")+(G13="✔")+(I13="✔")&gt;1</formula>
    </cfRule>
  </conditionalFormatting>
  <conditionalFormatting sqref="O14:R14">
    <cfRule type="expression" dxfId="9" priority="10">
      <formula>(E14="✔")+(G14="✔")+(I14="✔")&gt;1</formula>
    </cfRule>
  </conditionalFormatting>
  <conditionalFormatting sqref="O15:R15">
    <cfRule type="expression" dxfId="10" priority="11">
      <formula>(E15="✔")+(G15="✔")+(I15="✔")&gt;1</formula>
    </cfRule>
  </conditionalFormatting>
  <dataValidations count="6">
    <dataValidation type="list" allowBlank="1" showErrorMessage="1" errorTitle="輸入錯誤" error="請從選單中選擇 ✔ 或留空" sqref="E10:E15">
      <formula1>"✔,"</formula1>
    </dataValidation>
    <dataValidation type="list" allowBlank="1" showErrorMessage="1" errorTitle="輸入錯誤" error="請從選單中選擇 ✔ 或留空" sqref="E5:E15">
      <formula1>"✔,"</formula1>
    </dataValidation>
    <dataValidation type="list" allowBlank="1" showErrorMessage="1" errorTitle="輸入錯誤" error="請從選單中選擇 ✔ 或留空" sqref="G10:G15">
      <formula1>"✔,"</formula1>
    </dataValidation>
    <dataValidation type="list" allowBlank="1" showErrorMessage="1" errorTitle="輸入錯誤" error="請從選單中選擇 ✔ 或留空" sqref="G5:G15">
      <formula1>"✔,"</formula1>
    </dataValidation>
    <dataValidation type="list" allowBlank="1" showErrorMessage="1" errorTitle="輸入錯誤" error="請從選單中選擇 ✔ 或留空" sqref="I10:I15">
      <formula1>"✔,"</formula1>
    </dataValidation>
    <dataValidation type="list" allowBlank="1" showErrorMessage="1" errorTitle="輸入錯誤" error="請從選單中選擇 ✔ 或留空" sqref="I5:I15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