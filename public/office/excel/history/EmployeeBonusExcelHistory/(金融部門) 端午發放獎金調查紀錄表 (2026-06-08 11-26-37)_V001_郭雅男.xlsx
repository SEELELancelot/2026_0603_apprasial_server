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<sst xmlns="http://schemas.openxmlformats.org/spreadsheetml/2006/main" count="75" uniqueCount="75">
  <si>
    <t>115年員工工作表現之端午獎金主管建議發放月份</t>
  </si>
  <si>
    <t xml:space="preserve">鰻意粽銷售表
(115/05/04 - 115/06/08)</t>
  </si>
  <si>
    <t>單位:金融部門</t>
  </si>
  <si>
    <t>淨銷量</t>
  </si>
  <si>
    <t>淨銷額</t>
  </si>
  <si>
    <t>姓名</t>
  </si>
  <si>
    <t>職稱</t>
  </si>
  <si>
    <t>建議發放月份</t>
  </si>
  <si>
    <t/>
  </si>
  <si>
    <t>鄭穎玲</t>
  </si>
  <si>
    <t>主任</t>
  </si>
  <si>
    <t>✔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</si>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</sst>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 t="s">
        <v>11</v>
      </c>
      <c r="J5" s="13"/>
      <c r="L5" s="9">
        <v>13</v>
      </c>
      <c r="M5" s="14">
        <v>11700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12</v>
      </c>
      <c r="B6" s="9" t="s">
        <v>10</v>
      </c>
      <c r="C6" s="9"/>
      <c r="D6" s="9"/>
      <c r="E6" s="13"/>
      <c r="F6" s="13"/>
      <c r="G6" s="13"/>
      <c r="H6" s="13"/>
      <c r="I6" s="13" t="s">
        <v>11</v>
      </c>
      <c r="J6" s="13"/>
      <c r="L6" s="9">
        <v>6</v>
      </c>
      <c r="M6" s="14">
        <v>5400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10</v>
      </c>
      <c r="C7" s="9"/>
      <c r="D7" s="9"/>
      <c r="E7" s="13"/>
      <c r="F7" s="13"/>
      <c r="G7" s="13"/>
      <c r="H7" s="13"/>
      <c r="I7" s="13"/>
      <c r="J7" s="13"/>
      <c r="L7" s="9">
        <v>43</v>
      </c>
      <c r="M7" s="14">
        <v>39400</v>
      </c>
      <c r="O7" s="15" t="str">
        <f t="shared" si="0"/>
        <v xml:space="preserve">請於本列擇一打 ✔</v>
      </c>
      <c r="P7" s="15"/>
      <c r="Q7" s="15"/>
      <c r="R7" s="15"/>
    </row>
    <row r="8" ht="30" customHeight="1">
      <c r="A8" s="9" t="s">
        <v>14</v>
      </c>
      <c r="B8" s="9" t="s">
        <v>10</v>
      </c>
      <c r="C8" s="9"/>
      <c r="D8" s="9"/>
      <c r="E8" s="13"/>
      <c r="F8" s="13"/>
      <c r="G8" s="13"/>
      <c r="H8" s="13"/>
      <c r="I8" s="13"/>
      <c r="J8" s="13"/>
      <c r="L8" s="9">
        <v>20</v>
      </c>
      <c r="M8" s="14">
        <v>18000</v>
      </c>
      <c r="O8" s="15" t="str">
        <f t="shared" si="0"/>
        <v xml:space="preserve">請於本列擇一打 ✔</v>
      </c>
      <c r="P8" s="15"/>
      <c r="Q8" s="15"/>
      <c r="R8" s="15"/>
    </row>
    <row r="9" ht="30" customHeight="1">
      <c r="A9" s="9" t="s">
        <v>15</v>
      </c>
      <c r="B9" s="9" t="s">
        <v>10</v>
      </c>
      <c r="C9" s="9"/>
      <c r="D9" s="9"/>
      <c r="E9" s="13"/>
      <c r="F9" s="13"/>
      <c r="G9" s="13"/>
      <c r="H9" s="13"/>
      <c r="I9" s="13"/>
      <c r="J9" s="13"/>
      <c r="L9" s="9">
        <v>19</v>
      </c>
      <c r="M9" s="14">
        <v>17300</v>
      </c>
      <c r="O9" s="15" t="str">
        <f t="shared" si="0"/>
        <v xml:space="preserve">請於本列擇一打 ✔</v>
      </c>
      <c r="P9" s="15"/>
      <c r="Q9" s="15"/>
      <c r="R9" s="15"/>
    </row>
    <row r="10" ht="30" customHeight="1">
      <c r="A10" s="9" t="s">
        <v>16</v>
      </c>
      <c r="B10" s="9" t="s">
        <v>10</v>
      </c>
      <c r="C10" s="9"/>
      <c r="D10" s="9"/>
      <c r="E10" s="13"/>
      <c r="F10" s="13"/>
      <c r="G10" s="13"/>
      <c r="H10" s="13"/>
      <c r="I10" s="13"/>
      <c r="J10" s="13"/>
      <c r="L10" s="9">
        <v>12</v>
      </c>
      <c r="M10" s="14">
        <v>10800</v>
      </c>
      <c r="O10" s="15" t="str">
        <f t="shared" ref="O10:O29" si="1">IF((E10="✔")+(G10="✔")+(I10="✔")=0,"請於本列擇一打 ✔",IF((E10="✔")+(G10="✔")+(I10="✔")&gt;1,"請選擇唯一一項建議發放月份",""))</f>
        <v xml:space="preserve">請於本列擇一打 ✔</v>
      </c>
      <c r="P10" s="15"/>
      <c r="Q10" s="15"/>
      <c r="R10" s="15"/>
    </row>
    <row r="11" ht="30" customHeight="1">
      <c r="A11" s="9" t="s">
        <v>17</v>
      </c>
      <c r="B11" s="9" t="s">
        <v>10</v>
      </c>
      <c r="C11" s="9"/>
      <c r="D11" s="9"/>
      <c r="E11" s="13"/>
      <c r="F11" s="13"/>
      <c r="G11" s="13"/>
      <c r="H11" s="13"/>
      <c r="I11" s="13"/>
      <c r="J11" s="13"/>
      <c r="L11" s="9">
        <v>7</v>
      </c>
      <c r="M11" s="14">
        <v>6300</v>
      </c>
      <c r="O11" s="15" t="str">
        <f t="shared" si="1"/>
        <v xml:space="preserve">請於本列擇一打 ✔</v>
      </c>
      <c r="P11" s="15"/>
      <c r="Q11" s="15"/>
      <c r="R11" s="15"/>
    </row>
    <row r="12" ht="30" customHeight="1">
      <c r="A12" s="9" t="s">
        <v>18</v>
      </c>
      <c r="B12" s="9" t="s">
        <v>10</v>
      </c>
      <c r="C12" s="9"/>
      <c r="D12" s="9"/>
      <c r="E12" s="13"/>
      <c r="F12" s="13"/>
      <c r="G12" s="13"/>
      <c r="H12" s="13"/>
      <c r="I12" s="13"/>
      <c r="J12" s="13"/>
      <c r="L12" s="9">
        <v>21</v>
      </c>
      <c r="M12" s="14">
        <v>18900</v>
      </c>
      <c r="O12" s="15" t="str">
        <f t="shared" si="1"/>
        <v xml:space="preserve">請於本列擇一打 ✔</v>
      </c>
      <c r="P12" s="15"/>
      <c r="Q12" s="15"/>
      <c r="R12" s="15"/>
    </row>
    <row r="13" ht="30" customHeight="1">
      <c r="A13" s="9" t="s">
        <v>19</v>
      </c>
      <c r="B13" s="9" t="s">
        <v>20</v>
      </c>
      <c r="C13" s="9"/>
      <c r="D13" s="9"/>
      <c r="E13" s="13"/>
      <c r="F13" s="13"/>
      <c r="G13" s="13"/>
      <c r="H13" s="13"/>
      <c r="I13" s="13"/>
      <c r="J13" s="13"/>
      <c r="L13" s="9">
        <v>15</v>
      </c>
      <c r="M13" s="14">
        <v>13500</v>
      </c>
      <c r="O13" s="15" t="str">
        <f t="shared" si="1"/>
        <v xml:space="preserve">請於本列擇一打 ✔</v>
      </c>
      <c r="P13" s="15"/>
      <c r="Q13" s="15"/>
      <c r="R13" s="15"/>
    </row>
    <row r="14" ht="30" customHeight="1">
      <c r="A14" s="9" t="s">
        <v>21</v>
      </c>
      <c r="B14" s="9" t="s">
        <v>22</v>
      </c>
      <c r="C14" s="9"/>
      <c r="D14" s="9"/>
      <c r="E14" s="13"/>
      <c r="F14" s="13"/>
      <c r="G14" s="13"/>
      <c r="H14" s="13"/>
      <c r="I14" s="13"/>
      <c r="J14" s="13"/>
      <c r="L14" s="9">
        <v>4</v>
      </c>
      <c r="M14" s="14">
        <v>3600</v>
      </c>
      <c r="O14" s="15" t="str">
        <f t="shared" si="1"/>
        <v xml:space="preserve">請於本列擇一打 ✔</v>
      </c>
      <c r="P14" s="15"/>
      <c r="Q14" s="15"/>
      <c r="R14" s="15"/>
    </row>
    <row r="15" ht="30" customHeight="1">
      <c r="A15" s="9" t="s">
        <v>23</v>
      </c>
      <c r="B15" s="9" t="s">
        <v>24</v>
      </c>
      <c r="C15" s="9"/>
      <c r="D15" s="9"/>
      <c r="E15" s="13"/>
      <c r="F15" s="13"/>
      <c r="G15" s="13"/>
      <c r="H15" s="13"/>
      <c r="I15" s="13"/>
      <c r="J15" s="13"/>
      <c r="L15" s="9">
        <v>10</v>
      </c>
      <c r="M15" s="14">
        <v>9000</v>
      </c>
      <c r="O15" s="15" t="str">
        <f t="shared" si="1"/>
        <v xml:space="preserve">請於本列擇一打 ✔</v>
      </c>
      <c r="P15" s="15"/>
      <c r="Q15" s="15"/>
      <c r="R15" s="15"/>
    </row>
    <row r="16" ht="30" customHeight="1">
      <c r="A16" s="9" t="s">
        <v>25</v>
      </c>
      <c r="B16" s="9" t="s">
        <v>24</v>
      </c>
      <c r="C16" s="9"/>
      <c r="D16" s="9"/>
      <c r="E16" s="13"/>
      <c r="F16" s="13"/>
      <c r="G16" s="13"/>
      <c r="H16" s="13"/>
      <c r="I16" s="13"/>
      <c r="J16" s="13"/>
      <c r="L16" s="9">
        <v>3</v>
      </c>
      <c r="M16" s="14">
        <v>2700</v>
      </c>
      <c r="O16" s="15" t="str">
        <f t="shared" si="1"/>
        <v xml:space="preserve">請於本列擇一打 ✔</v>
      </c>
      <c r="P16" s="15"/>
      <c r="Q16" s="15"/>
      <c r="R16" s="15"/>
    </row>
    <row r="17" ht="30" customHeight="1">
      <c r="A17" s="9" t="s">
        <v>26</v>
      </c>
      <c r="B17" s="9" t="s">
        <v>24</v>
      </c>
      <c r="C17" s="9"/>
      <c r="D17" s="9"/>
      <c r="E17" s="13"/>
      <c r="F17" s="13"/>
      <c r="G17" s="13"/>
      <c r="H17" s="13"/>
      <c r="I17" s="13"/>
      <c r="J17" s="13"/>
      <c r="L17" s="9">
        <v>6</v>
      </c>
      <c r="M17" s="14">
        <v>5400</v>
      </c>
      <c r="O17" s="15" t="str">
        <f t="shared" si="1"/>
        <v xml:space="preserve">請於本列擇一打 ✔</v>
      </c>
      <c r="P17" s="15"/>
      <c r="Q17" s="15"/>
      <c r="R17" s="15"/>
    </row>
    <row r="18" ht="30" customHeight="1">
      <c r="A18" s="9" t="s">
        <v>27</v>
      </c>
      <c r="B18" s="9" t="s">
        <v>28</v>
      </c>
      <c r="C18" s="9"/>
      <c r="D18" s="9"/>
      <c r="E18" s="13"/>
      <c r="F18" s="13"/>
      <c r="G18" s="13"/>
      <c r="H18" s="13"/>
      <c r="I18" s="13"/>
      <c r="J18" s="13"/>
      <c r="L18" s="9">
        <v>7</v>
      </c>
      <c r="M18" s="14">
        <v>6255</v>
      </c>
      <c r="O18" s="15" t="str">
        <f t="shared" si="1"/>
        <v xml:space="preserve">請於本列擇一打 ✔</v>
      </c>
      <c r="P18" s="15"/>
      <c r="Q18" s="15"/>
      <c r="R18" s="15"/>
    </row>
    <row r="19" ht="30" customHeight="1">
      <c r="A19" s="9" t="s">
        <v>29</v>
      </c>
      <c r="B19" s="9" t="s">
        <v>28</v>
      </c>
      <c r="C19" s="9"/>
      <c r="D19" s="9"/>
      <c r="E19" s="13"/>
      <c r="F19" s="13"/>
      <c r="G19" s="13"/>
      <c r="H19" s="13"/>
      <c r="I19" s="13"/>
      <c r="J19" s="13"/>
      <c r="L19" s="9">
        <v>6</v>
      </c>
      <c r="M19" s="14">
        <v>5400</v>
      </c>
      <c r="O19" s="15" t="str">
        <f t="shared" si="1"/>
        <v xml:space="preserve">請於本列擇一打 ✔</v>
      </c>
      <c r="P19" s="15"/>
      <c r="Q19" s="15"/>
      <c r="R19" s="15"/>
    </row>
    <row r="20" ht="30" customHeight="1">
      <c r="A20" s="9" t="s">
        <v>30</v>
      </c>
      <c r="B20" s="9" t="s">
        <v>28</v>
      </c>
      <c r="C20" s="9"/>
      <c r="D20" s="9"/>
      <c r="E20" s="13"/>
      <c r="F20" s="13"/>
      <c r="G20" s="13"/>
      <c r="H20" s="13"/>
      <c r="I20" s="13"/>
      <c r="J20" s="13"/>
      <c r="L20" s="9">
        <v>3</v>
      </c>
      <c r="M20" s="14">
        <v>2700</v>
      </c>
      <c r="O20" s="15" t="str">
        <f t="shared" si="1"/>
        <v xml:space="preserve">請於本列擇一打 ✔</v>
      </c>
      <c r="P20" s="15"/>
      <c r="Q20" s="15"/>
      <c r="R20" s="15"/>
    </row>
    <row r="21" ht="30" customHeight="1">
      <c r="A21" s="9" t="s">
        <v>31</v>
      </c>
      <c r="B21" s="9" t="s">
        <v>28</v>
      </c>
      <c r="C21" s="9"/>
      <c r="D21" s="9"/>
      <c r="E21" s="13"/>
      <c r="F21" s="13"/>
      <c r="G21" s="13"/>
      <c r="H21" s="13"/>
      <c r="I21" s="13"/>
      <c r="J21" s="13"/>
      <c r="L21" s="9">
        <v>4</v>
      </c>
      <c r="M21" s="14">
        <v>3600</v>
      </c>
      <c r="O21" s="15" t="str">
        <f t="shared" si="1"/>
        <v xml:space="preserve">請於本列擇一打 ✔</v>
      </c>
      <c r="P21" s="15"/>
      <c r="Q21" s="15"/>
      <c r="R21" s="15"/>
    </row>
    <row r="22" ht="30" customHeight="1">
      <c r="A22" s="9" t="s">
        <v>32</v>
      </c>
      <c r="B22" s="9" t="s">
        <v>28</v>
      </c>
      <c r="C22" s="9"/>
      <c r="D22" s="9"/>
      <c r="E22" s="13"/>
      <c r="F22" s="13"/>
      <c r="G22" s="13"/>
      <c r="H22" s="13"/>
      <c r="I22" s="13"/>
      <c r="J22" s="13"/>
      <c r="L22" s="9">
        <v>3</v>
      </c>
      <c r="M22" s="14">
        <v>2700</v>
      </c>
      <c r="O22" s="15" t="str">
        <f t="shared" si="1"/>
        <v xml:space="preserve">請於本列擇一打 ✔</v>
      </c>
      <c r="P22" s="15"/>
      <c r="Q22" s="15"/>
      <c r="R22" s="15"/>
    </row>
    <row r="23" ht="30" customHeight="1">
      <c r="A23" s="9" t="s">
        <v>33</v>
      </c>
      <c r="B23" s="9" t="s">
        <v>28</v>
      </c>
      <c r="C23" s="9"/>
      <c r="D23" s="9"/>
      <c r="E23" s="13"/>
      <c r="F23" s="13"/>
      <c r="G23" s="13"/>
      <c r="H23" s="13"/>
      <c r="I23" s="13"/>
      <c r="J23" s="13"/>
      <c r="L23" s="9">
        <v>3</v>
      </c>
      <c r="M23" s="14">
        <v>2850</v>
      </c>
      <c r="O23" s="15" t="str">
        <f t="shared" si="1"/>
        <v xml:space="preserve">請於本列擇一打 ✔</v>
      </c>
      <c r="P23" s="15"/>
      <c r="Q23" s="15"/>
      <c r="R23" s="15"/>
    </row>
    <row r="24" ht="30" customHeight="1">
      <c r="A24" s="9" t="s">
        <v>34</v>
      </c>
      <c r="B24" s="9" t="s">
        <v>28</v>
      </c>
      <c r="C24" s="9"/>
      <c r="D24" s="9"/>
      <c r="E24" s="13"/>
      <c r="F24" s="13"/>
      <c r="G24" s="13"/>
      <c r="H24" s="13"/>
      <c r="I24" s="13"/>
      <c r="J24" s="13"/>
      <c r="L24" s="9">
        <v>7</v>
      </c>
      <c r="M24" s="14">
        <v>6300</v>
      </c>
      <c r="O24" s="15" t="str">
        <f t="shared" si="1"/>
        <v xml:space="preserve">請於本列擇一打 ✔</v>
      </c>
      <c r="P24" s="15"/>
      <c r="Q24" s="15"/>
      <c r="R24" s="15"/>
    </row>
    <row r="25" ht="30" customHeight="1">
      <c r="A25" s="9" t="s">
        <v>35</v>
      </c>
      <c r="B25" s="9" t="s">
        <v>28</v>
      </c>
      <c r="C25" s="9"/>
      <c r="D25" s="9"/>
      <c r="E25" s="13"/>
      <c r="F25" s="13"/>
      <c r="G25" s="13"/>
      <c r="H25" s="13"/>
      <c r="I25" s="13"/>
      <c r="J25" s="13"/>
      <c r="L25" s="9">
        <v>9</v>
      </c>
      <c r="M25" s="14">
        <v>8100</v>
      </c>
      <c r="O25" s="15" t="str">
        <f t="shared" si="1"/>
        <v xml:space="preserve">請於本列擇一打 ✔</v>
      </c>
      <c r="P25" s="15"/>
      <c r="Q25" s="15"/>
      <c r="R25" s="15"/>
    </row>
    <row r="26" ht="30" customHeight="1">
      <c r="A26" s="9" t="s">
        <v>36</v>
      </c>
      <c r="B26" s="9" t="s">
        <v>28</v>
      </c>
      <c r="C26" s="9"/>
      <c r="D26" s="9"/>
      <c r="E26" s="13"/>
      <c r="F26" s="13"/>
      <c r="G26" s="13"/>
      <c r="H26" s="13"/>
      <c r="I26" s="13"/>
      <c r="J26" s="13"/>
      <c r="L26" s="9">
        <v>5</v>
      </c>
      <c r="M26" s="14">
        <v>4550</v>
      </c>
      <c r="O26" s="15" t="str">
        <f t="shared" si="1"/>
        <v xml:space="preserve">請於本列擇一打 ✔</v>
      </c>
      <c r="P26" s="15"/>
      <c r="Q26" s="15"/>
      <c r="R26" s="15"/>
    </row>
    <row r="27" ht="30" customHeight="1">
      <c r="A27" s="9" t="s">
        <v>37</v>
      </c>
      <c r="B27" s="9" t="s">
        <v>28</v>
      </c>
      <c r="C27" s="9"/>
      <c r="D27" s="9"/>
      <c r="E27" s="13"/>
      <c r="F27" s="13"/>
      <c r="G27" s="13"/>
      <c r="H27" s="13"/>
      <c r="I27" s="13"/>
      <c r="J27" s="13"/>
      <c r="L27" s="9">
        <v>8</v>
      </c>
      <c r="M27" s="14">
        <v>7200</v>
      </c>
      <c r="O27" s="15" t="str">
        <f t="shared" si="1"/>
        <v xml:space="preserve">請於本列擇一打 ✔</v>
      </c>
      <c r="P27" s="15"/>
      <c r="Q27" s="15"/>
      <c r="R27" s="15"/>
    </row>
    <row r="28" ht="30" customHeight="1">
      <c r="A28" s="9" t="s">
        <v>38</v>
      </c>
      <c r="B28" s="9" t="s">
        <v>28</v>
      </c>
      <c r="C28" s="9"/>
      <c r="D28" s="9"/>
      <c r="E28" s="13"/>
      <c r="F28" s="13"/>
      <c r="G28" s="13"/>
      <c r="H28" s="13"/>
      <c r="I28" s="13"/>
      <c r="J28" s="13"/>
      <c r="L28" s="9">
        <v>3</v>
      </c>
      <c r="M28" s="14">
        <v>2700</v>
      </c>
      <c r="O28" s="15" t="str">
        <f t="shared" si="1"/>
        <v xml:space="preserve">請於本列擇一打 ✔</v>
      </c>
      <c r="P28" s="15"/>
      <c r="Q28" s="15"/>
      <c r="R28" s="15"/>
    </row>
    <row r="29" ht="30" customHeight="1">
      <c r="A29" s="9" t="s">
        <v>39</v>
      </c>
      <c r="B29" s="9" t="s">
        <v>28</v>
      </c>
      <c r="C29" s="9"/>
      <c r="D29" s="9"/>
      <c r="E29" s="13"/>
      <c r="F29" s="13"/>
      <c r="G29" s="13"/>
      <c r="H29" s="13"/>
      <c r="I29" s="13"/>
      <c r="J29" s="13"/>
      <c r="L29" s="9">
        <v>6</v>
      </c>
      <c r="M29" s="14">
        <v>5550</v>
      </c>
      <c r="O29" s="15" t="str">
        <f t="shared" si="1"/>
        <v xml:space="preserve">請於本列擇一打 ✔</v>
      </c>
      <c r="P29" s="15"/>
      <c r="Q29" s="15"/>
      <c r="R29" s="15"/>
    </row>
    <row r="30" ht="30" customHeight="1">
      <c r="L30" s="6">
        <v>243</v>
      </c>
      <c r="M30" s="16">
        <v>219905</v>
      </c>
    </row>
  </sheetData>
  <sheetProtection algorithmName="SHA-512" hashValue="l15j/T9HLZ2eUcC/kv3ot5Rhn+B0TqwgKnDha3/3KoQQTqac8G2C1ndRx8ejBR3akjljk8nycw6ybsswW+PN4g==" saltValue="yHGoIXzUeuxo8nBzV8/r3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34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  <mergeCell ref="B20:D20"/>
    <mergeCell ref="E20:F20"/>
    <mergeCell ref="G20:H20"/>
    <mergeCell ref="I20:J20"/>
    <mergeCell ref="O20:R20"/>
    <mergeCell ref="B21:D21"/>
    <mergeCell ref="E21:F21"/>
    <mergeCell ref="G21:H21"/>
    <mergeCell ref="I21:J21"/>
    <mergeCell ref="O21:R21"/>
    <mergeCell ref="B22:D22"/>
    <mergeCell ref="E22:F22"/>
    <mergeCell ref="G22:H22"/>
    <mergeCell ref="I22:J22"/>
    <mergeCell ref="O22:R22"/>
    <mergeCell ref="B23:D23"/>
    <mergeCell ref="E23:F23"/>
    <mergeCell ref="G23:H23"/>
    <mergeCell ref="I23:J23"/>
    <mergeCell ref="O23:R23"/>
    <mergeCell ref="B24:D24"/>
    <mergeCell ref="E24:F24"/>
    <mergeCell ref="G24:H24"/>
    <mergeCell ref="I24:J24"/>
    <mergeCell ref="O24:R24"/>
    <mergeCell ref="B25:D25"/>
    <mergeCell ref="E25:F25"/>
    <mergeCell ref="G25:H25"/>
    <mergeCell ref="I25:J25"/>
    <mergeCell ref="O25:R25"/>
    <mergeCell ref="B26:D26"/>
    <mergeCell ref="E26:F26"/>
    <mergeCell ref="G26:H26"/>
    <mergeCell ref="I26:J26"/>
    <mergeCell ref="O26:R26"/>
    <mergeCell ref="B27:D27"/>
    <mergeCell ref="E27:F27"/>
    <mergeCell ref="G27:H27"/>
    <mergeCell ref="I27:J27"/>
    <mergeCell ref="O27:R27"/>
    <mergeCell ref="B28:D28"/>
    <mergeCell ref="E28:F28"/>
    <mergeCell ref="G28:H28"/>
    <mergeCell ref="I28:J28"/>
    <mergeCell ref="O28:R28"/>
    <mergeCell ref="B29:D29"/>
    <mergeCell ref="E29:F29"/>
    <mergeCell ref="G29:H29"/>
    <mergeCell ref="I29:J29"/>
    <mergeCell ref="O29:R2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00FC0003-0035-45B9-937C-00B6005000BA}">
            <xm:f>(E29="✔")+(G29="✔")+(I29="✔")&gt;1</xm:f>
            <x14:dxf>
              <font>
                <color indexed="2"/>
              </font>
            </x14:dxf>
          </x14:cfRule>
          <xm:sqref>O29:R29</xm:sqref>
        </x14:conditionalFormatting>
        <x14:conditionalFormatting xmlns:xm="http://schemas.microsoft.com/office/excel/2006/main">
          <x14:cfRule type="expression" priority="24" id="{006A0081-0085-442A-942F-003700800072}">
            <xm:f>(E28="✔")+(G28="✔")+(I28="✔")&gt;1</xm:f>
            <x14:dxf>
              <font>
                <color indexed="2"/>
              </font>
            </x14:dxf>
          </x14:cfRule>
          <xm:sqref>O28:R28</xm:sqref>
        </x14:conditionalFormatting>
        <x14:conditionalFormatting xmlns:xm="http://schemas.microsoft.com/office/excel/2006/main">
          <x14:cfRule type="expression" priority="23" id="{0016002F-0003-4AA9-8799-000F00360056}">
            <xm:f>(E27="✔")+(G27="✔")+(I27="✔")&gt;1</xm:f>
            <x14:dxf>
              <font>
                <color indexed="2"/>
              </font>
            </x14:dxf>
          </x14:cfRule>
          <xm:sqref>O27:R27</xm:sqref>
        </x14:conditionalFormatting>
        <x14:conditionalFormatting xmlns:xm="http://schemas.microsoft.com/office/excel/2006/main">
          <x14:cfRule type="expression" priority="22" id="{00E9000A-005F-442F-B3E1-008F008F005A}">
            <xm:f>(E26="✔")+(G26="✔")+(I26="✔")&gt;1</xm:f>
            <x14:dxf>
              <font>
                <color indexed="2"/>
              </font>
            </x14:dxf>
          </x14:cfRule>
          <xm:sqref>O26:R26</xm:sqref>
        </x14:conditionalFormatting>
        <x14:conditionalFormatting xmlns:xm="http://schemas.microsoft.com/office/excel/2006/main">
          <x14:cfRule type="expression" priority="21" id="{00680065-0083-4DF6-81EC-008000C000AF}">
            <xm:f>(E25="✔")+(G25="✔")+(I25="✔")&gt;1</xm:f>
            <x14:dxf>
              <font>
                <color indexed="2"/>
              </font>
            </x14:dxf>
          </x14:cfRule>
          <xm:sqref>O25:R25</xm:sqref>
        </x14:conditionalFormatting>
        <x14:conditionalFormatting xmlns:xm="http://schemas.microsoft.com/office/excel/2006/main">
          <x14:cfRule type="expression" priority="20" id="{00790098-0009-4422-82AA-0088009D0003}">
            <xm:f>(E24="✔")+(G24="✔")+(I24="✔")&gt;1</xm:f>
            <x14:dxf>
              <font>
                <color indexed="2"/>
              </font>
            </x14:dxf>
          </x14:cfRule>
          <xm:sqref>O24:R24</xm:sqref>
        </x14:conditionalFormatting>
        <x14:conditionalFormatting xmlns:xm="http://schemas.microsoft.com/office/excel/2006/main">
          <x14:cfRule type="expression" priority="19" id="{000400FE-0086-46AA-86F0-005700A7003F}">
            <xm:f>(E23="✔")+(G23="✔")+(I23="✔")&gt;1</xm:f>
            <x14:dxf>
              <font>
                <color indexed="2"/>
              </font>
            </x14:dxf>
          </x14:cfRule>
          <xm:sqref>O23:R23</xm:sqref>
        </x14:conditionalFormatting>
        <x14:conditionalFormatting xmlns:xm="http://schemas.microsoft.com/office/excel/2006/main">
          <x14:cfRule type="expression" priority="18" id="{009C002E-0040-4DEC-A307-0036008D0016}">
            <xm:f>(E22="✔")+(G22="✔")+(I22="✔")&gt;1</xm:f>
            <x14:dxf>
              <font>
                <color indexed="2"/>
              </font>
            </x14:dxf>
          </x14:cfRule>
          <xm:sqref>O22:R22</xm:sqref>
        </x14:conditionalFormatting>
        <x14:conditionalFormatting xmlns:xm="http://schemas.microsoft.com/office/excel/2006/main">
          <x14:cfRule type="expression" priority="17" id="{0034005F-006A-4931-A844-000500AE0001}">
            <xm:f>(E21="✔")+(G21="✔")+(I21="✔")&gt;1</xm:f>
            <x14:dxf>
              <font>
                <color indexed="2"/>
              </font>
            </x14:dxf>
          </x14:cfRule>
          <xm:sqref>O21:R21</xm:sqref>
        </x14:conditionalFormatting>
        <x14:conditionalFormatting xmlns:xm="http://schemas.microsoft.com/office/excel/2006/main">
          <x14:cfRule type="expression" priority="16" id="{002F00A3-00FA-41F0-8F5F-006200E70007}">
            <xm:f>(E20="✔")+(G20="✔")+(I20="✔")&gt;1</xm:f>
            <x14:dxf>
              <font>
                <color indexed="2"/>
              </font>
            </x14:dxf>
          </x14:cfRule>
          <xm:sqref>O20:R20</xm:sqref>
        </x14:conditionalFormatting>
        <x14:conditionalFormatting xmlns:xm="http://schemas.microsoft.com/office/excel/2006/main">
          <x14:cfRule type="expression" priority="15" id="{0096004F-0015-4180-8415-001700FA00A1}">
            <xm:f>(E19="✔")+(G19="✔")+(I19="✔")&gt;1</xm:f>
            <x14:dxf>
              <font>
                <color indexed="2"/>
              </font>
            </x14:dxf>
          </x14:cfRule>
          <xm:sqref>O19:R19</xm:sqref>
        </x14:conditionalFormatting>
        <x14:conditionalFormatting xmlns:xm="http://schemas.microsoft.com/office/excel/2006/main">
          <x14:cfRule type="expression" priority="14" id="{00C7002A-000A-4BC6-A452-00DB008500A2}">
            <xm:f>(E18="✔")+(G18="✔")+(I18="✔")&gt;1</xm:f>
            <x14:dxf>
              <font>
                <color indexed="2"/>
              </font>
            </x14:dxf>
          </x14:cfRule>
          <xm:sqref>O18:R18</xm:sqref>
        </x14:conditionalFormatting>
        <x14:conditionalFormatting xmlns:xm="http://schemas.microsoft.com/office/excel/2006/main">
          <x14:cfRule type="expression" priority="13" id="{00A1001E-001D-4F9A-94F5-00BE002F00B8}">
            <xm:f>(E17="✔")+(G17="✔")+(I17="✔")&gt;1</xm:f>
            <x14:dxf>
              <font>
                <color indexed="2"/>
              </font>
            </x14:dxf>
          </x14:cfRule>
          <xm:sqref>O17:R17</xm:sqref>
        </x14:conditionalFormatting>
        <x14:conditionalFormatting xmlns:xm="http://schemas.microsoft.com/office/excel/2006/main">
          <x14:cfRule type="expression" priority="12" id="{001B0023-006E-477A-A45A-00CB00800004}">
            <xm:f>(E16="✔")+(G16="✔")+(I16="✔")&gt;1</xm:f>
            <x14:dxf>
              <font>
                <color indexed="2"/>
              </font>
            </x14:dxf>
          </x14:cfRule>
          <xm:sqref>O16:R16</xm:sqref>
        </x14:conditionalFormatting>
        <x14:conditionalFormatting xmlns:xm="http://schemas.microsoft.com/office/excel/2006/main">
          <x14:cfRule type="expression" priority="11" id="{00F1007F-00B5-454F-9F64-0066003A0068}">
            <xm:f>(E15="✔")+(G15="✔")+(I15="✔")&gt;1</xm:f>
            <x14:dxf>
              <font>
                <color indexed="2"/>
              </font>
            </x14:dxf>
          </x14:cfRule>
          <xm:sqref>O15:R15</xm:sqref>
        </x14:conditionalFormatting>
        <x14:conditionalFormatting xmlns:xm="http://schemas.microsoft.com/office/excel/2006/main">
          <x14:cfRule type="expression" priority="10" id="{001D00C8-00AA-4865-9468-007F005B003B}">
            <xm:f>(E14="✔")+(G14="✔")+(I14="✔")&gt;1</xm:f>
            <x14:dxf>
              <font>
                <color indexed="2"/>
              </font>
            </x14:dxf>
          </x14:cfRule>
          <xm:sqref>O14:R14</xm:sqref>
        </x14:conditionalFormatting>
        <x14:conditionalFormatting xmlns:xm="http://schemas.microsoft.com/office/excel/2006/main">
          <x14:cfRule type="expression" priority="9" id="{00A70015-0026-4AA3-AD11-0007008600D9}">
            <xm:f>(E13="✔")+(G13="✔")+(I13="✔")&gt;1</xm:f>
            <x14:dxf>
              <font>
                <color indexed="2"/>
              </font>
            </x14:dxf>
          </x14:cfRule>
          <xm:sqref>O13:R13</xm:sqref>
        </x14:conditionalFormatting>
        <x14:conditionalFormatting xmlns:xm="http://schemas.microsoft.com/office/excel/2006/main">
          <x14:cfRule type="expression" priority="8" id="{00B7003C-00BE-4B4F-9CA6-009B00E000A6}">
            <xm:f>(E12="✔")+(G12="✔")+(I12="✔")&gt;1</xm:f>
            <x14:dxf>
              <font>
                <color indexed="2"/>
              </font>
            </x14:dxf>
          </x14:cfRule>
          <xm:sqref>O12:R12</xm:sqref>
        </x14:conditionalFormatting>
        <x14:conditionalFormatting xmlns:xm="http://schemas.microsoft.com/office/excel/2006/main">
          <x14:cfRule type="expression" priority="7" id="{00930038-0020-4A58-B1EA-00A000A300F8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3B00FD-005C-4E61-B90A-009400B7007B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D1002C-00C3-4C2B-8F48-00AE000500E2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7D00AA-002F-4185-917E-00F200C700A4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E600BE-00FC-416B-AC00-00C4004B00D2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910050-00C3-47AF-9F47-00C6005200B4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6600C5-0043-43C2-93DF-001700FF00C8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B8000E-0004-43E6-94F6-005900B7000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E10:E29</xm:sqref>
        </x14:dataValidation>
        <x14:dataValidation xr:uid="{008300A0-00A1-44CF-981B-00E300D2004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E5:E29</xm:sqref>
        </x14:dataValidation>
        <x14:dataValidation xr:uid="{00F20034-00E9-4C29-8C15-0098006600F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G10:G29</xm:sqref>
        </x14:dataValidation>
        <x14:dataValidation xr:uid="{00990011-00AA-498E-8E04-00E5004B00E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G5:G29</xm:sqref>
        </x14:dataValidation>
        <x14:dataValidation xr:uid="{00BD0001-0038-4A6E-9563-002A006A006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I10:I29</xm:sqref>
        </x14:dataValidation>
        <x14:dataValidation xr:uid="{0078005C-0017-4085-A8EC-007700E4000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40</v>
      </c>
      <c r="B1" t="s">
        <v>9</v>
      </c>
      <c r="C1" t="s">
        <v>41</v>
      </c>
    </row>
    <row r="2">
      <c r="A2" t="s">
        <v>42</v>
      </c>
      <c r="B2" t="s">
        <v>12</v>
      </c>
      <c r="C2" t="s">
        <v>43</v>
      </c>
    </row>
    <row r="3">
      <c r="A3" t="s">
        <v>44</v>
      </c>
      <c r="B3" t="s">
        <v>13</v>
      </c>
      <c r="C3" t="s">
        <v>45</v>
      </c>
    </row>
    <row r="4">
      <c r="A4" t="s">
        <v>46</v>
      </c>
      <c r="B4" t="s">
        <v>14</v>
      </c>
      <c r="C4" t="s">
        <v>47</v>
      </c>
    </row>
    <row r="5">
      <c r="A5" t="s">
        <v>48</v>
      </c>
      <c r="B5" t="s">
        <v>15</v>
      </c>
      <c r="C5" t="s">
        <v>49</v>
      </c>
    </row>
    <row r="6">
      <c r="A6" t="s">
        <v>50</v>
      </c>
      <c r="B6" t="s">
        <v>16</v>
      </c>
      <c r="C6" t="s">
        <v>51</v>
      </c>
    </row>
    <row r="7">
      <c r="A7" t="s">
        <v>52</v>
      </c>
      <c r="B7" t="s">
        <v>17</v>
      </c>
      <c r="C7" t="s">
        <v>53</v>
      </c>
    </row>
    <row r="8">
      <c r="A8" t="s">
        <v>54</v>
      </c>
      <c r="B8" t="s">
        <v>18</v>
      </c>
      <c r="C8" t="s">
        <v>55</v>
      </c>
    </row>
    <row r="9">
      <c r="A9" t="s">
        <v>56</v>
      </c>
      <c r="B9" t="s">
        <v>19</v>
      </c>
      <c r="C9" t="s">
        <v>57</v>
      </c>
    </row>
    <row r="10">
      <c r="A10" t="s">
        <v>58</v>
      </c>
      <c r="B10" t="s">
        <v>21</v>
      </c>
      <c r="C10" t="s">
        <v>59</v>
      </c>
    </row>
    <row r="11">
      <c r="A11" t="s">
        <v>60</v>
      </c>
      <c r="B11" t="s">
        <v>23</v>
      </c>
      <c r="C11" t="s">
        <v>59</v>
      </c>
    </row>
    <row r="12">
      <c r="A12" t="s">
        <v>61</v>
      </c>
      <c r="B12" t="s">
        <v>25</v>
      </c>
      <c r="C12" t="s">
        <v>59</v>
      </c>
    </row>
    <row r="13">
      <c r="A13" t="s">
        <v>62</v>
      </c>
      <c r="B13" t="s">
        <v>26</v>
      </c>
      <c r="C13" t="s">
        <v>59</v>
      </c>
    </row>
    <row r="14">
      <c r="A14" t="s">
        <v>63</v>
      </c>
      <c r="B14" t="s">
        <v>27</v>
      </c>
      <c r="C14" t="s">
        <v>59</v>
      </c>
    </row>
    <row r="15">
      <c r="A15" t="s">
        <v>64</v>
      </c>
      <c r="B15" t="s">
        <v>29</v>
      </c>
      <c r="C15" t="s">
        <v>59</v>
      </c>
    </row>
    <row r="16">
      <c r="A16" t="s">
        <v>65</v>
      </c>
      <c r="B16" t="s">
        <v>30</v>
      </c>
      <c r="C16" t="s">
        <v>59</v>
      </c>
    </row>
    <row r="17">
      <c r="A17" t="s">
        <v>66</v>
      </c>
      <c r="B17" t="s">
        <v>31</v>
      </c>
      <c r="C17" t="s">
        <v>59</v>
      </c>
    </row>
    <row r="18">
      <c r="A18" t="s">
        <v>67</v>
      </c>
      <c r="B18" t="s">
        <v>32</v>
      </c>
      <c r="C18" t="s">
        <v>59</v>
      </c>
    </row>
    <row r="19">
      <c r="A19" t="s">
        <v>68</v>
      </c>
      <c r="B19" t="s">
        <v>33</v>
      </c>
      <c r="C19" t="s">
        <v>59</v>
      </c>
    </row>
    <row r="20">
      <c r="A20" t="s">
        <v>69</v>
      </c>
      <c r="B20" t="s">
        <v>34</v>
      </c>
      <c r="C20" t="s">
        <v>59</v>
      </c>
    </row>
    <row r="21">
      <c r="A21" t="s">
        <v>70</v>
      </c>
      <c r="B21" t="s">
        <v>35</v>
      </c>
      <c r="C21" t="s">
        <v>59</v>
      </c>
    </row>
    <row r="22">
      <c r="A22" t="s">
        <v>71</v>
      </c>
      <c r="B22" t="s">
        <v>36</v>
      </c>
      <c r="C22" t="s">
        <v>59</v>
      </c>
    </row>
    <row r="23">
      <c r="A23" t="s">
        <v>72</v>
      </c>
      <c r="B23" t="s">
        <v>37</v>
      </c>
      <c r="C23" t="s">
        <v>59</v>
      </c>
    </row>
    <row r="24">
      <c r="A24" t="s">
        <v>73</v>
      </c>
      <c r="B24" t="s">
        <v>38</v>
      </c>
      <c r="C24" t="s">
        <v>59</v>
      </c>
    </row>
    <row r="25">
      <c r="A25" t="s">
        <v>74</v>
      </c>
      <c r="B25" t="s">
        <v>39</v>
      </c>
      <c r="C25" t="s">
        <v>59</v>
      </c>
    </row>
  </sheetData>
  <sheetProtection algorithmName="SHA-512" hashValue="ENaVjFh4sfGCBw7YZvpfoH27p+oQMCi+xsqkt/ufHgCp+OF+OsFxZ5VHc9f3FBvFqY19qKX9JdhsL4WQXdyytA==" saltValue="UrWfVDfA8bS7iVOwYmGXo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1</cp:revision>
  <dcterms:created xsi:type="dcterms:W3CDTF">2015-06-05T18:19:34Z</dcterms:created>
  <dcterms:modified xsi:type="dcterms:W3CDTF">2026-06-08T03:26:53Z</dcterms:modified>
</cp:coreProperties>
</file>