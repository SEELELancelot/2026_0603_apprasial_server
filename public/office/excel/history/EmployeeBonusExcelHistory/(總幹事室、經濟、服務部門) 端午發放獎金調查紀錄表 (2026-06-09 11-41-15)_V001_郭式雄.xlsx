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<sst xmlns="http://schemas.openxmlformats.org/spreadsheetml/2006/main" count="84" uniqueCount="53">
  <si>
    <t>115年員工工作表現之端午獎金主管建議發放月份</t>
  </si>
  <si>
    <t xml:space="preserve">鰻意粽銷售
(115/05/04 - 115/06/09)</t>
  </si>
  <si>
    <t>單位:總幹事室、經濟、服務部門</t>
  </si>
  <si>
    <t>實際銷售</t>
  </si>
  <si>
    <t>姓名</t>
  </si>
  <si>
    <t>職稱</t>
  </si>
  <si>
    <t>建議發放月份</t>
  </si>
  <si>
    <t/>
  </si>
  <si>
    <t>黃祈雯</t>
  </si>
  <si>
    <t>幹事</t>
  </si>
  <si>
    <t>陳志清</t>
  </si>
  <si>
    <t>技工</t>
  </si>
  <si>
    <t>陳玉芳</t>
  </si>
  <si>
    <t>主任</t>
  </si>
  <si>
    <t>高傳和</t>
  </si>
  <si>
    <t>林建興</t>
  </si>
  <si>
    <t>股長</t>
  </si>
  <si>
    <t>許展彰</t>
  </si>
  <si>
    <t>林溪河</t>
  </si>
  <si>
    <t>許淑如</t>
  </si>
  <si>
    <t>洪玉映</t>
  </si>
  <si>
    <t>幹事代主任</t>
  </si>
  <si>
    <t>黃湧淇</t>
  </si>
  <si>
    <t>黃明田</t>
  </si>
  <si>
    <t>吳素顏</t>
  </si>
  <si>
    <t>黃姿菁</t>
  </si>
  <si>
    <t>沈宗儒</t>
  </si>
  <si>
    <t>林威任</t>
  </si>
  <si>
    <t>0011</t>
  </si>
  <si>
    <t>總幹事室</t>
  </si>
  <si>
    <t>0185</t>
  </si>
  <si>
    <t>0079</t>
  </si>
  <si>
    <t>供銷部</t>
  </si>
  <si>
    <t>0116</t>
  </si>
  <si>
    <t>埔心魚市場</t>
  </si>
  <si>
    <t>0119</t>
  </si>
  <si>
    <t>0118</t>
  </si>
  <si>
    <t>0090</t>
  </si>
  <si>
    <t>0089</t>
  </si>
  <si>
    <t>王功辦事處</t>
  </si>
  <si>
    <t>0017</t>
  </si>
  <si>
    <t>線西辦事處</t>
  </si>
  <si>
    <t>0067</t>
  </si>
  <si>
    <t>鹿港辦事處</t>
  </si>
  <si>
    <t>0029</t>
  </si>
  <si>
    <t>企劃部</t>
  </si>
  <si>
    <t>0032</t>
  </si>
  <si>
    <t>稽核部</t>
  </si>
  <si>
    <t>0015</t>
  </si>
  <si>
    <t>推廣部</t>
  </si>
  <si>
    <t>0016</t>
  </si>
  <si>
    <t>0186</t>
  </si>
  <si>
    <t>會務部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</si>
</sst>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sheetData>
    <row r="1" spans="1:3" x14ac:dyDescent="0.25">
      <c r="A1" t="s">
        <v>28</v>
      </c>
      <c r="B1" t="s">
        <v>8</v>
      </c>
      <c r="C1" t="s">
        <v>29</v>
      </c>
    </row>
    <row r="2" spans="1:3" x14ac:dyDescent="0.25">
      <c r="A2" t="s">
        <v>30</v>
      </c>
      <c r="B2" t="s">
        <v>10</v>
      </c>
      <c r="C2" t="s">
        <v>29</v>
      </c>
    </row>
    <row r="3" spans="1:3" x14ac:dyDescent="0.25">
      <c r="A3" t="s">
        <v>31</v>
      </c>
      <c r="B3" t="s">
        <v>12</v>
      </c>
      <c r="C3" t="s">
        <v>32</v>
      </c>
    </row>
    <row r="4" spans="1:3" x14ac:dyDescent="0.25">
      <c r="A4" t="s">
        <v>33</v>
      </c>
      <c r="B4" t="s">
        <v>14</v>
      </c>
      <c r="C4" t="s">
        <v>34</v>
      </c>
    </row>
    <row r="5" spans="1:3" x14ac:dyDescent="0.25">
      <c r="A5" t="s">
        <v>35</v>
      </c>
      <c r="B5" t="s">
        <v>15</v>
      </c>
      <c r="C5" t="s">
        <v>34</v>
      </c>
    </row>
    <row r="6" spans="1:3" x14ac:dyDescent="0.25">
      <c r="A6" t="s">
        <v>36</v>
      </c>
      <c r="B6" t="s">
        <v>17</v>
      </c>
      <c r="C6" t="s">
        <v>34</v>
      </c>
    </row>
    <row r="7" spans="1:3" x14ac:dyDescent="0.25">
      <c r="A7" t="s">
        <v>37</v>
      </c>
      <c r="B7" t="s">
        <v>18</v>
      </c>
      <c r="C7" t="s">
        <v>34</v>
      </c>
    </row>
    <row r="8" spans="1:3" x14ac:dyDescent="0.25">
      <c r="A8" t="s">
        <v>38</v>
      </c>
      <c r="B8" t="s">
        <v>19</v>
      </c>
      <c r="C8" t="s">
        <v>39</v>
      </c>
    </row>
    <row r="9" spans="1:3" x14ac:dyDescent="0.25">
      <c r="A9" t="s">
        <v>40</v>
      </c>
      <c r="B9" t="s">
        <v>20</v>
      </c>
      <c r="C9" t="s">
        <v>41</v>
      </c>
    </row>
    <row r="10" spans="1:3" x14ac:dyDescent="0.25">
      <c r="A10" t="s">
        <v>42</v>
      </c>
      <c r="B10" t="s">
        <v>22</v>
      </c>
      <c r="C10" t="s">
        <v>43</v>
      </c>
    </row>
    <row r="11" spans="1:3" x14ac:dyDescent="0.25">
      <c r="A11" t="s">
        <v>44</v>
      </c>
      <c r="B11" t="s">
        <v>23</v>
      </c>
      <c r="C11" t="s">
        <v>45</v>
      </c>
    </row>
    <row r="12" spans="1:3" x14ac:dyDescent="0.25">
      <c r="A12" t="s">
        <v>46</v>
      </c>
      <c r="B12" t="s">
        <v>24</v>
      </c>
      <c r="C12" t="s">
        <v>47</v>
      </c>
    </row>
    <row r="13" spans="1:3" x14ac:dyDescent="0.25">
      <c r="A13" t="s">
        <v>48</v>
      </c>
      <c r="B13" t="s">
        <v>25</v>
      </c>
      <c r="C13" t="s">
        <v>49</v>
      </c>
    </row>
    <row r="14" spans="1:3" x14ac:dyDescent="0.25">
      <c r="A14" t="s">
        <v>50</v>
      </c>
      <c r="B14" t="s">
        <v>26</v>
      </c>
      <c r="C14" t="s">
        <v>49</v>
      </c>
    </row>
    <row r="15" spans="1:3" x14ac:dyDescent="0.25">
      <c r="A15" t="s">
        <v>51</v>
      </c>
      <c r="B15" t="s">
        <v>27</v>
      </c>
      <c r="C15" t="s">
        <v>52</v>
      </c>
    </row>
  </sheetData>
  <sheetProtection sheet="1" selectLockedCells="1" selectUnlockedCells="1" algorithmName="SHA-512" hashValue="W4cp/V04o5GyINm2uEykfnCyS5ToRZILgjSuYFK6jPVzBmDcb4y9WGeppMVfIsJ9WuY0lSL2xJFoiIUX+3tpgQ==" saltValue="QfTAnl2TgcHIrzMtASVRc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32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7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12</v>
      </c>
      <c r="B7" s="9" t="s">
        <v>13</v>
      </c>
      <c r="C7" s="9"/>
      <c r="D7" s="9"/>
      <c r="E7" s="13"/>
      <c r="F7" s="13"/>
      <c r="G7" s="13"/>
      <c r="H7" s="13"/>
      <c r="I7" s="13"/>
      <c r="J7" s="13"/>
      <c r="L7" s="14">
        <v>16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14</v>
      </c>
      <c r="B8" s="9" t="s">
        <v>13</v>
      </c>
      <c r="C8" s="9"/>
      <c r="D8" s="9"/>
      <c r="E8" s="13"/>
      <c r="F8" s="13"/>
      <c r="G8" s="13"/>
      <c r="H8" s="13"/>
      <c r="I8" s="13"/>
      <c r="J8" s="13"/>
      <c r="L8" s="14">
        <v>6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15</v>
      </c>
      <c r="B9" s="9" t="s">
        <v>16</v>
      </c>
      <c r="C9" s="9"/>
      <c r="D9" s="9"/>
      <c r="E9" s="13"/>
      <c r="F9" s="13"/>
      <c r="G9" s="13"/>
      <c r="H9" s="13"/>
      <c r="I9" s="13"/>
      <c r="J9" s="13"/>
      <c r="L9" s="14">
        <v>6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17</v>
      </c>
      <c r="B10" s="9" t="s">
        <v>16</v>
      </c>
      <c r="C10" s="9"/>
      <c r="D10" s="9"/>
      <c r="E10" s="13"/>
      <c r="F10" s="13"/>
      <c r="G10" s="13"/>
      <c r="H10" s="13"/>
      <c r="I10" s="13"/>
      <c r="J10" s="13"/>
      <c r="L10" s="14">
        <v>15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:18" x14ac:dyDescent="0.25">
      <c r="A11" s="9" t="s">
        <v>18</v>
      </c>
      <c r="B11" s="9" t="s">
        <v>16</v>
      </c>
      <c r="C11" s="9"/>
      <c r="D11" s="9"/>
      <c r="E11" s="13"/>
      <c r="F11" s="13"/>
      <c r="G11" s="13"/>
      <c r="H11" s="13"/>
      <c r="I11" s="13"/>
      <c r="J11" s="13"/>
      <c r="L11" s="14">
        <v>7</v>
      </c>
      <c r="O11" s="15" t="str">
        <f>IF((E11="✔")+(G11="✔")+(I11="✔")=0,"請於本列擇一打 ✔",IF((E11="✔")+(G11="✔")+(I11="✔")&gt;1,"請選擇唯一一項建議發放月份",""))</f>
        <v>請於本列擇一打 ✔</v>
      </c>
      <c r="P11" s="15"/>
      <c r="Q11" s="15"/>
      <c r="R11" s="15"/>
    </row>
    <row r="12" ht="30" customHeight="1" spans="1:18" x14ac:dyDescent="0.25">
      <c r="A12" s="9" t="s">
        <v>19</v>
      </c>
      <c r="B12" s="9" t="s">
        <v>13</v>
      </c>
      <c r="C12" s="9"/>
      <c r="D12" s="9"/>
      <c r="E12" s="13"/>
      <c r="F12" s="13"/>
      <c r="G12" s="13"/>
      <c r="H12" s="13"/>
      <c r="I12" s="13"/>
      <c r="J12" s="13"/>
      <c r="L12" s="14">
        <v>21</v>
      </c>
      <c r="O12" s="15" t="str">
        <f>IF((E12="✔")+(G12="✔")+(I12="✔")=0,"請於本列擇一打 ✔",IF((E12="✔")+(G12="✔")+(I12="✔")&gt;1,"請選擇唯一一項建議發放月份",""))</f>
        <v>請於本列擇一打 ✔</v>
      </c>
      <c r="P12" s="15"/>
      <c r="Q12" s="15"/>
      <c r="R12" s="15"/>
    </row>
    <row r="13" ht="30" customHeight="1" spans="1:18" x14ac:dyDescent="0.25">
      <c r="A13" s="9" t="s">
        <v>20</v>
      </c>
      <c r="B13" s="9" t="s">
        <v>21</v>
      </c>
      <c r="C13" s="9"/>
      <c r="D13" s="9"/>
      <c r="E13" s="13"/>
      <c r="F13" s="13"/>
      <c r="G13" s="13"/>
      <c r="H13" s="13"/>
      <c r="I13" s="13"/>
      <c r="J13" s="13"/>
      <c r="L13" s="14">
        <v>10</v>
      </c>
      <c r="O13" s="15" t="str">
        <f>IF((E13="✔")+(G13="✔")+(I13="✔")=0,"請於本列擇一打 ✔",IF((E13="✔")+(G13="✔")+(I13="✔")&gt;1,"請選擇唯一一項建議發放月份",""))</f>
        <v>請於本列擇一打 ✔</v>
      </c>
      <c r="P13" s="15"/>
      <c r="Q13" s="15"/>
      <c r="R13" s="15"/>
    </row>
    <row r="14" ht="30" customHeight="1" spans="1:18" x14ac:dyDescent="0.25">
      <c r="A14" s="9" t="s">
        <v>22</v>
      </c>
      <c r="B14" s="9" t="s">
        <v>13</v>
      </c>
      <c r="C14" s="9"/>
      <c r="D14" s="9"/>
      <c r="E14" s="13"/>
      <c r="F14" s="13"/>
      <c r="G14" s="13"/>
      <c r="H14" s="13"/>
      <c r="I14" s="13"/>
      <c r="J14" s="13"/>
      <c r="L14" s="14">
        <v>12</v>
      </c>
      <c r="O14" s="15" t="str">
        <f>IF((E14="✔")+(G14="✔")+(I14="✔")=0,"請於本列擇一打 ✔",IF((E14="✔")+(G14="✔")+(I14="✔")&gt;1,"請選擇唯一一項建議發放月份",""))</f>
        <v>請於本列擇一打 ✔</v>
      </c>
      <c r="P14" s="15"/>
      <c r="Q14" s="15"/>
      <c r="R14" s="15"/>
    </row>
    <row r="15" ht="30" customHeight="1" spans="1:18" x14ac:dyDescent="0.25">
      <c r="A15" s="9" t="s">
        <v>23</v>
      </c>
      <c r="B15" s="9" t="s">
        <v>13</v>
      </c>
      <c r="C15" s="9"/>
      <c r="D15" s="9"/>
      <c r="E15" s="13"/>
      <c r="F15" s="13"/>
      <c r="G15" s="13"/>
      <c r="H15" s="13"/>
      <c r="I15" s="13"/>
      <c r="J15" s="13"/>
      <c r="L15" s="14">
        <v>7</v>
      </c>
      <c r="O15" s="15" t="str">
        <f>IF((E15="✔")+(G15="✔")+(I15="✔")=0,"請於本列擇一打 ✔",IF((E15="✔")+(G15="✔")+(I15="✔")&gt;1,"請選擇唯一一項建議發放月份",""))</f>
        <v>請於本列擇一打 ✔</v>
      </c>
      <c r="P15" s="15"/>
      <c r="Q15" s="15"/>
      <c r="R15" s="15"/>
    </row>
    <row r="16" ht="30" customHeight="1" spans="1:18" x14ac:dyDescent="0.25">
      <c r="A16" s="9" t="s">
        <v>24</v>
      </c>
      <c r="B16" s="9" t="s">
        <v>13</v>
      </c>
      <c r="C16" s="9"/>
      <c r="D16" s="9"/>
      <c r="E16" s="13"/>
      <c r="F16" s="13"/>
      <c r="G16" s="13"/>
      <c r="H16" s="13"/>
      <c r="I16" s="13"/>
      <c r="J16" s="13"/>
      <c r="L16" s="14">
        <v>10</v>
      </c>
      <c r="O16" s="15" t="str">
        <f>IF((E16="✔")+(G16="✔")+(I16="✔")=0,"請於本列擇一打 ✔",IF((E16="✔")+(G16="✔")+(I16="✔")&gt;1,"請選擇唯一一項建議發放月份",""))</f>
        <v>請於本列擇一打 ✔</v>
      </c>
      <c r="P16" s="15"/>
      <c r="Q16" s="15"/>
      <c r="R16" s="15"/>
    </row>
    <row r="17" ht="30" customHeight="1" spans="1:18" x14ac:dyDescent="0.25">
      <c r="A17" s="9" t="s">
        <v>25</v>
      </c>
      <c r="B17" s="9" t="s">
        <v>13</v>
      </c>
      <c r="C17" s="9"/>
      <c r="D17" s="9"/>
      <c r="E17" s="13"/>
      <c r="F17" s="13"/>
      <c r="G17" s="13"/>
      <c r="H17" s="13"/>
      <c r="I17" s="13"/>
      <c r="J17" s="13"/>
      <c r="L17" s="14">
        <v>10</v>
      </c>
      <c r="O17" s="15" t="str">
        <f>IF((E17="✔")+(G17="✔")+(I17="✔")=0,"請於本列擇一打 ✔",IF((E17="✔")+(G17="✔")+(I17="✔")&gt;1,"請選擇唯一一項建議發放月份",""))</f>
        <v>請於本列擇一打 ✔</v>
      </c>
      <c r="P17" s="15"/>
      <c r="Q17" s="15"/>
      <c r="R17" s="15"/>
    </row>
    <row r="18" ht="30" customHeight="1" spans="1:18" x14ac:dyDescent="0.25">
      <c r="A18" s="9" t="s">
        <v>26</v>
      </c>
      <c r="B18" s="9" t="s">
        <v>16</v>
      </c>
      <c r="C18" s="9"/>
      <c r="D18" s="9"/>
      <c r="E18" s="13"/>
      <c r="F18" s="13"/>
      <c r="G18" s="13"/>
      <c r="H18" s="13"/>
      <c r="I18" s="13"/>
      <c r="J18" s="13"/>
      <c r="L18" s="14">
        <v>9</v>
      </c>
      <c r="O18" s="15" t="str">
        <f>IF((E18="✔")+(G18="✔")+(I18="✔")=0,"請於本列擇一打 ✔",IF((E18="✔")+(G18="✔")+(I18="✔")&gt;1,"請選擇唯一一項建議發放月份",""))</f>
        <v>請於本列擇一打 ✔</v>
      </c>
      <c r="P18" s="15"/>
      <c r="Q18" s="15"/>
      <c r="R18" s="15"/>
    </row>
    <row r="19" ht="30" customHeight="1" spans="1:18" x14ac:dyDescent="0.25">
      <c r="A19" s="9" t="s">
        <v>27</v>
      </c>
      <c r="B19" s="9" t="s">
        <v>13</v>
      </c>
      <c r="C19" s="9"/>
      <c r="D19" s="9"/>
      <c r="E19" s="13"/>
      <c r="F19" s="13"/>
      <c r="G19" s="13"/>
      <c r="H19" s="13"/>
      <c r="I19" s="13"/>
      <c r="J19" s="13"/>
      <c r="L19" s="14">
        <v>7</v>
      </c>
      <c r="O19" s="15" t="str">
        <f>IF((E19="✔")+(G19="✔")+(I19="✔")=0,"請於本列擇一打 ✔",IF((E19="✔")+(G19="✔")+(I19="✔")&gt;1,"請選擇唯一一項建議發放月份",""))</f>
        <v>請於本列擇一打 ✔</v>
      </c>
      <c r="P19" s="15"/>
      <c r="Q19" s="15"/>
      <c r="R19" s="15"/>
    </row>
  </sheetData>
  <sheetProtection sheet="1" selectLockedCells="1" algorithmName="SHA-512" hashValue="ffwFb8xo5DrJNXxle4UNtbFjTyXKg0klRmxaOw3uBTdZDTso+WoUd5tLfwhTd9E8YjJ0KqQ0VLcDfxpKeMPtFA==" saltValue="AtrYez3PTQEEcb7peyEG4g==" spinCount="100000"/>
  <mergeCells count="8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  <mergeCell ref="B16:D16"/>
    <mergeCell ref="E16:F16"/>
    <mergeCell ref="G16:H16"/>
    <mergeCell ref="I16:J16"/>
    <mergeCell ref="O16:R16"/>
    <mergeCell ref="B17:D17"/>
    <mergeCell ref="E17:F17"/>
    <mergeCell ref="G17:H17"/>
    <mergeCell ref="I17:J17"/>
    <mergeCell ref="O17:R17"/>
    <mergeCell ref="B18:D18"/>
    <mergeCell ref="E18:F18"/>
    <mergeCell ref="G18:H18"/>
    <mergeCell ref="I18:J18"/>
    <mergeCell ref="O18:R18"/>
    <mergeCell ref="B19:D19"/>
    <mergeCell ref="E19:F19"/>
    <mergeCell ref="G19:H19"/>
    <mergeCell ref="I19:J19"/>
    <mergeCell ref="O19:R19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conditionalFormatting sqref="O11:R11">
    <cfRule type="expression" dxfId="6" priority="7">
      <formula>(E11="✔")+(G11="✔")+(I11="✔")&gt;1</formula>
    </cfRule>
  </conditionalFormatting>
  <conditionalFormatting sqref="O12:R12">
    <cfRule type="expression" dxfId="7" priority="8">
      <formula>(E12="✔")+(G12="✔")+(I12="✔")&gt;1</formula>
    </cfRule>
  </conditionalFormatting>
  <conditionalFormatting sqref="O13:R13">
    <cfRule type="expression" dxfId="8" priority="9">
      <formula>(E13="✔")+(G13="✔")+(I13="✔")&gt;1</formula>
    </cfRule>
  </conditionalFormatting>
  <conditionalFormatting sqref="O14:R14">
    <cfRule type="expression" dxfId="9" priority="10">
      <formula>(E14="✔")+(G14="✔")+(I14="✔")&gt;1</formula>
    </cfRule>
  </conditionalFormatting>
  <conditionalFormatting sqref="O15:R15">
    <cfRule type="expression" dxfId="10" priority="11">
      <formula>(E15="✔")+(G15="✔")+(I15="✔")&gt;1</formula>
    </cfRule>
  </conditionalFormatting>
  <conditionalFormatting sqref="O16:R16">
    <cfRule type="expression" dxfId="11" priority="12">
      <formula>(E16="✔")+(G16="✔")+(I16="✔")&gt;1</formula>
    </cfRule>
  </conditionalFormatting>
  <conditionalFormatting sqref="O17:R17">
    <cfRule type="expression" dxfId="12" priority="13">
      <formula>(E17="✔")+(G17="✔")+(I17="✔")&gt;1</formula>
    </cfRule>
  </conditionalFormatting>
  <conditionalFormatting sqref="O18:R18">
    <cfRule type="expression" dxfId="13" priority="14">
      <formula>(E18="✔")+(G18="✔")+(I18="✔")&gt;1</formula>
    </cfRule>
  </conditionalFormatting>
  <conditionalFormatting sqref="O19:R19">
    <cfRule type="expression" dxfId="14" priority="15">
      <formula>(E19="✔")+(G19="✔")+(I19="✔")&gt;1</formula>
    </cfRule>
  </conditionalFormatting>
  <dataValidations count="6">
    <dataValidation type="list" allowBlank="1" showErrorMessage="1" errorTitle="輸入錯誤" error="請從選單中選擇 ✔ 或留空" sqref="E10:E19">
      <formula1>"✔,"</formula1>
    </dataValidation>
    <dataValidation type="list" allowBlank="1" showErrorMessage="1" errorTitle="輸入錯誤" error="請從選單中選擇 ✔ 或留空" sqref="E5:E19">
      <formula1>"✔,"</formula1>
    </dataValidation>
    <dataValidation type="list" allowBlank="1" showErrorMessage="1" errorTitle="輸入錯誤" error="請從選單中選擇 ✔ 或留空" sqref="G10:G19">
      <formula1>"✔,"</formula1>
    </dataValidation>
    <dataValidation type="list" allowBlank="1" showErrorMessage="1" errorTitle="輸入錯誤" error="請從選單中選擇 ✔ 或留空" sqref="G5:G19">
      <formula1>"✔,"</formula1>
    </dataValidation>
    <dataValidation type="list" allowBlank="1" showErrorMessage="1" errorTitle="輸入錯誤" error="請從選單中選擇 ✔ 或留空" sqref="I10:I19">
      <formula1>"✔,"</formula1>
    </dataValidation>
    <dataValidation type="list" allowBlank="1" showErrorMessage="1" errorTitle="輸入錯誤" error="請從選單中選擇 ✔ 或留空" sqref="I5:I19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