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<sst xmlns="http://schemas.openxmlformats.org/spreadsheetml/2006/main" count="75" uniqueCount="75">
  <si>
    <t>115年員工工作表現之端午獎金主管建議發放月份</t>
  </si>
  <si>
    <t xml:space="preserve">鰻意粽銷售表
(115/05/04 - 115/06/08)</t>
  </si>
  <si>
    <t>單位:金融部門</t>
  </si>
  <si>
    <t>淨銷量</t>
  </si>
  <si>
    <t>淨銷額</t>
  </si>
  <si>
    <t>姓名</t>
  </si>
  <si>
    <t>職稱</t>
  </si>
  <si>
    <t>建議發放月份</t>
  </si>
  <si>
    <t/>
  </si>
  <si>
    <t>鄭穎玲</t>
  </si>
  <si>
    <t>主任</t>
  </si>
  <si>
    <t>✔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</si>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</sst>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13</v>
      </c>
      <c r="M5" s="14">
        <v>11700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10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6</v>
      </c>
      <c r="M6" s="14">
        <v>5400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43</v>
      </c>
      <c r="M7" s="14">
        <v>39400</v>
      </c>
      <c r="O7" s="15" t="str">
        <f t="shared" si="0"/>
        <v xml:space="preserve">請於本列擇一打 ✔</v>
      </c>
      <c r="P7" s="15"/>
      <c r="Q7" s="15"/>
      <c r="R7" s="15"/>
    </row>
    <row r="8" ht="30" customHeight="1">
      <c r="A8" s="9" t="s">
        <v>14</v>
      </c>
      <c r="B8" s="9" t="s">
        <v>10</v>
      </c>
      <c r="C8" s="9"/>
      <c r="D8" s="9"/>
      <c r="E8" s="13"/>
      <c r="F8" s="13"/>
      <c r="G8" s="13"/>
      <c r="H8" s="13"/>
      <c r="I8" s="13"/>
      <c r="J8" s="13"/>
      <c r="L8" s="9">
        <v>20</v>
      </c>
      <c r="M8" s="14">
        <v>18000</v>
      </c>
      <c r="O8" s="15" t="str">
        <f t="shared" si="0"/>
        <v xml:space="preserve">請於本列擇一打 ✔</v>
      </c>
      <c r="P8" s="15"/>
      <c r="Q8" s="15"/>
      <c r="R8" s="15"/>
    </row>
    <row r="9" ht="30" customHeight="1">
      <c r="A9" s="9" t="s">
        <v>15</v>
      </c>
      <c r="B9" s="9" t="s">
        <v>10</v>
      </c>
      <c r="C9" s="9"/>
      <c r="D9" s="9"/>
      <c r="E9" s="13"/>
      <c r="F9" s="13"/>
      <c r="G9" s="13"/>
      <c r="H9" s="13"/>
      <c r="I9" s="13"/>
      <c r="J9" s="13"/>
      <c r="L9" s="9">
        <v>19</v>
      </c>
      <c r="M9" s="14">
        <v>17300</v>
      </c>
      <c r="O9" s="15" t="str">
        <f t="shared" si="0"/>
        <v xml:space="preserve">請於本列擇一打 ✔</v>
      </c>
      <c r="P9" s="15"/>
      <c r="Q9" s="15"/>
      <c r="R9" s="15"/>
    </row>
    <row r="10" ht="30" customHeight="1">
      <c r="A10" s="9" t="s">
        <v>16</v>
      </c>
      <c r="B10" s="9" t="s">
        <v>10</v>
      </c>
      <c r="C10" s="9"/>
      <c r="D10" s="9"/>
      <c r="E10" s="13"/>
      <c r="F10" s="13"/>
      <c r="G10" s="13"/>
      <c r="H10" s="13"/>
      <c r="I10" s="13"/>
      <c r="J10" s="13"/>
      <c r="L10" s="9">
        <v>12</v>
      </c>
      <c r="M10" s="14">
        <v>10800</v>
      </c>
      <c r="O10" s="15" t="str">
        <f t="shared" ref="O10:O29" si="1">IF((E10="✔")+(G10="✔")+(I10="✔")=0,"請於本列擇一打 ✔",IF((E10="✔")+(G10="✔")+(I10="✔")&gt;1,"請選擇唯一一項建議發放月份",""))</f>
        <v xml:space="preserve">請於本列擇一打 ✔</v>
      </c>
      <c r="P10" s="15"/>
      <c r="Q10" s="15"/>
      <c r="R10" s="15"/>
    </row>
    <row r="11" ht="30" customHeight="1">
      <c r="A11" s="9" t="s">
        <v>17</v>
      </c>
      <c r="B11" s="9" t="s">
        <v>10</v>
      </c>
      <c r="C11" s="9"/>
      <c r="D11" s="9"/>
      <c r="E11" s="13"/>
      <c r="F11" s="13"/>
      <c r="G11" s="13"/>
      <c r="H11" s="13"/>
      <c r="I11" s="13"/>
      <c r="J11" s="13"/>
      <c r="L11" s="9">
        <v>7</v>
      </c>
      <c r="M11" s="14">
        <v>6300</v>
      </c>
      <c r="O11" s="15" t="str">
        <f t="shared" si="1"/>
        <v xml:space="preserve">請於本列擇一打 ✔</v>
      </c>
      <c r="P11" s="15"/>
      <c r="Q11" s="15"/>
      <c r="R11" s="15"/>
    </row>
    <row r="12" ht="30" customHeight="1">
      <c r="A12" s="9" t="s">
        <v>18</v>
      </c>
      <c r="B12" s="9" t="s">
        <v>10</v>
      </c>
      <c r="C12" s="9"/>
      <c r="D12" s="9"/>
      <c r="E12" s="13"/>
      <c r="F12" s="13"/>
      <c r="G12" s="13"/>
      <c r="H12" s="13"/>
      <c r="I12" s="13"/>
      <c r="J12" s="13"/>
      <c r="L12" s="9">
        <v>21</v>
      </c>
      <c r="M12" s="14">
        <v>18900</v>
      </c>
      <c r="O12" s="15" t="str">
        <f t="shared" si="1"/>
        <v xml:space="preserve">請於本列擇一打 ✔</v>
      </c>
      <c r="P12" s="15"/>
      <c r="Q12" s="15"/>
      <c r="R12" s="15"/>
    </row>
    <row r="13" ht="30" customHeight="1">
      <c r="A13" s="9" t="s">
        <v>19</v>
      </c>
      <c r="B13" s="9" t="s">
        <v>20</v>
      </c>
      <c r="C13" s="9"/>
      <c r="D13" s="9"/>
      <c r="E13" s="13"/>
      <c r="F13" s="13"/>
      <c r="G13" s="13"/>
      <c r="H13" s="13"/>
      <c r="I13" s="13"/>
      <c r="J13" s="13"/>
      <c r="L13" s="9">
        <v>15</v>
      </c>
      <c r="M13" s="14">
        <v>13500</v>
      </c>
      <c r="O13" s="15" t="str">
        <f t="shared" si="1"/>
        <v xml:space="preserve">請於本列擇一打 ✔</v>
      </c>
      <c r="P13" s="15"/>
      <c r="Q13" s="15"/>
      <c r="R13" s="15"/>
    </row>
    <row r="14" ht="30" customHeight="1">
      <c r="A14" s="9" t="s">
        <v>21</v>
      </c>
      <c r="B14" s="9" t="s">
        <v>22</v>
      </c>
      <c r="C14" s="9"/>
      <c r="D14" s="9"/>
      <c r="E14" s="13"/>
      <c r="F14" s="13"/>
      <c r="G14" s="13"/>
      <c r="H14" s="13"/>
      <c r="I14" s="13"/>
      <c r="J14" s="13"/>
      <c r="L14" s="9">
        <v>4</v>
      </c>
      <c r="M14" s="14">
        <v>3600</v>
      </c>
      <c r="O14" s="15" t="str">
        <f t="shared" si="1"/>
        <v xml:space="preserve">請於本列擇一打 ✔</v>
      </c>
      <c r="P14" s="15"/>
      <c r="Q14" s="15"/>
      <c r="R14" s="15"/>
    </row>
    <row r="15" ht="30" customHeight="1">
      <c r="A15" s="9" t="s">
        <v>23</v>
      </c>
      <c r="B15" s="9" t="s">
        <v>24</v>
      </c>
      <c r="C15" s="9"/>
      <c r="D15" s="9"/>
      <c r="E15" s="13"/>
      <c r="F15" s="13"/>
      <c r="G15" s="13"/>
      <c r="H15" s="13"/>
      <c r="I15" s="13"/>
      <c r="J15" s="13"/>
      <c r="L15" s="9">
        <v>10</v>
      </c>
      <c r="M15" s="14">
        <v>9000</v>
      </c>
      <c r="O15" s="15" t="str">
        <f t="shared" si="1"/>
        <v xml:space="preserve">請於本列擇一打 ✔</v>
      </c>
      <c r="P15" s="15"/>
      <c r="Q15" s="15"/>
      <c r="R15" s="15"/>
    </row>
    <row r="16" ht="30" customHeight="1">
      <c r="A16" s="9" t="s">
        <v>25</v>
      </c>
      <c r="B16" s="9" t="s">
        <v>24</v>
      </c>
      <c r="C16" s="9"/>
      <c r="D16" s="9"/>
      <c r="E16" s="13"/>
      <c r="F16" s="13"/>
      <c r="G16" s="13"/>
      <c r="H16" s="13"/>
      <c r="I16" s="13"/>
      <c r="J16" s="13"/>
      <c r="L16" s="9">
        <v>3</v>
      </c>
      <c r="M16" s="14">
        <v>2700</v>
      </c>
      <c r="O16" s="15" t="str">
        <f t="shared" si="1"/>
        <v xml:space="preserve">請於本列擇一打 ✔</v>
      </c>
      <c r="P16" s="15"/>
      <c r="Q16" s="15"/>
      <c r="R16" s="15"/>
    </row>
    <row r="17" ht="30" customHeight="1">
      <c r="A17" s="9" t="s">
        <v>26</v>
      </c>
      <c r="B17" s="9" t="s">
        <v>24</v>
      </c>
      <c r="C17" s="9"/>
      <c r="D17" s="9"/>
      <c r="E17" s="13"/>
      <c r="F17" s="13"/>
      <c r="G17" s="13"/>
      <c r="H17" s="13"/>
      <c r="I17" s="13"/>
      <c r="J17" s="13"/>
      <c r="L17" s="9">
        <v>6</v>
      </c>
      <c r="M17" s="14">
        <v>5400</v>
      </c>
      <c r="O17" s="15" t="str">
        <f t="shared" si="1"/>
        <v xml:space="preserve">請於本列擇一打 ✔</v>
      </c>
      <c r="P17" s="15"/>
      <c r="Q17" s="15"/>
      <c r="R17" s="15"/>
    </row>
    <row r="18" ht="30" customHeight="1">
      <c r="A18" s="9" t="s">
        <v>27</v>
      </c>
      <c r="B18" s="9" t="s">
        <v>28</v>
      </c>
      <c r="C18" s="9"/>
      <c r="D18" s="9"/>
      <c r="E18" s="13"/>
      <c r="F18" s="13"/>
      <c r="G18" s="13"/>
      <c r="H18" s="13"/>
      <c r="I18" s="13"/>
      <c r="J18" s="13"/>
      <c r="L18" s="9">
        <v>7</v>
      </c>
      <c r="M18" s="14">
        <v>6255</v>
      </c>
      <c r="O18" s="15" t="str">
        <f t="shared" si="1"/>
        <v xml:space="preserve">請於本列擇一打 ✔</v>
      </c>
      <c r="P18" s="15"/>
      <c r="Q18" s="15"/>
      <c r="R18" s="15"/>
    </row>
    <row r="19" ht="30" customHeight="1">
      <c r="A19" s="9" t="s">
        <v>29</v>
      </c>
      <c r="B19" s="9" t="s">
        <v>28</v>
      </c>
      <c r="C19" s="9"/>
      <c r="D19" s="9"/>
      <c r="E19" s="13"/>
      <c r="F19" s="13"/>
      <c r="G19" s="13"/>
      <c r="H19" s="13"/>
      <c r="I19" s="13"/>
      <c r="J19" s="13"/>
      <c r="L19" s="9">
        <v>6</v>
      </c>
      <c r="M19" s="14">
        <v>5400</v>
      </c>
      <c r="O19" s="15" t="str">
        <f t="shared" si="1"/>
        <v xml:space="preserve">請於本列擇一打 ✔</v>
      </c>
      <c r="P19" s="15"/>
      <c r="Q19" s="15"/>
      <c r="R19" s="15"/>
    </row>
    <row r="20" ht="30" customHeight="1">
      <c r="A20" s="9" t="s">
        <v>30</v>
      </c>
      <c r="B20" s="9" t="s">
        <v>28</v>
      </c>
      <c r="C20" s="9"/>
      <c r="D20" s="9"/>
      <c r="E20" s="13"/>
      <c r="F20" s="13"/>
      <c r="G20" s="13"/>
      <c r="H20" s="13"/>
      <c r="I20" s="13"/>
      <c r="J20" s="13"/>
      <c r="L20" s="9">
        <v>3</v>
      </c>
      <c r="M20" s="14">
        <v>2700</v>
      </c>
      <c r="O20" s="15" t="str">
        <f t="shared" si="1"/>
        <v xml:space="preserve">請於本列擇一打 ✔</v>
      </c>
      <c r="P20" s="15"/>
      <c r="Q20" s="15"/>
      <c r="R20" s="15"/>
    </row>
    <row r="21" ht="30" customHeight="1">
      <c r="A21" s="9" t="s">
        <v>31</v>
      </c>
      <c r="B21" s="9" t="s">
        <v>28</v>
      </c>
      <c r="C21" s="9"/>
      <c r="D21" s="9"/>
      <c r="E21" s="13"/>
      <c r="F21" s="13"/>
      <c r="G21" s="13"/>
      <c r="H21" s="13"/>
      <c r="I21" s="13"/>
      <c r="J21" s="13"/>
      <c r="L21" s="9">
        <v>4</v>
      </c>
      <c r="M21" s="14">
        <v>3600</v>
      </c>
      <c r="O21" s="15" t="str">
        <f t="shared" si="1"/>
        <v xml:space="preserve">請於本列擇一打 ✔</v>
      </c>
      <c r="P21" s="15"/>
      <c r="Q21" s="15"/>
      <c r="R21" s="15"/>
    </row>
    <row r="22" ht="30" customHeight="1">
      <c r="A22" s="9" t="s">
        <v>32</v>
      </c>
      <c r="B22" s="9" t="s">
        <v>28</v>
      </c>
      <c r="C22" s="9"/>
      <c r="D22" s="9"/>
      <c r="E22" s="13"/>
      <c r="F22" s="13"/>
      <c r="G22" s="13"/>
      <c r="H22" s="13"/>
      <c r="I22" s="13"/>
      <c r="J22" s="13"/>
      <c r="L22" s="9">
        <v>3</v>
      </c>
      <c r="M22" s="14">
        <v>2700</v>
      </c>
      <c r="O22" s="15" t="str">
        <f t="shared" si="1"/>
        <v xml:space="preserve">請於本列擇一打 ✔</v>
      </c>
      <c r="P22" s="15"/>
      <c r="Q22" s="15"/>
      <c r="R22" s="15"/>
    </row>
    <row r="23" ht="30" customHeight="1">
      <c r="A23" s="9" t="s">
        <v>33</v>
      </c>
      <c r="B23" s="9" t="s">
        <v>28</v>
      </c>
      <c r="C23" s="9"/>
      <c r="D23" s="9"/>
      <c r="E23" s="13"/>
      <c r="F23" s="13"/>
      <c r="G23" s="13"/>
      <c r="H23" s="13"/>
      <c r="I23" s="13"/>
      <c r="J23" s="13"/>
      <c r="L23" s="9">
        <v>3</v>
      </c>
      <c r="M23" s="14">
        <v>2850</v>
      </c>
      <c r="O23" s="15" t="str">
        <f t="shared" si="1"/>
        <v xml:space="preserve">請於本列擇一打 ✔</v>
      </c>
      <c r="P23" s="15"/>
      <c r="Q23" s="15"/>
      <c r="R23" s="15"/>
    </row>
    <row r="24" ht="30" customHeight="1">
      <c r="A24" s="9" t="s">
        <v>34</v>
      </c>
      <c r="B24" s="9" t="s">
        <v>28</v>
      </c>
      <c r="C24" s="9"/>
      <c r="D24" s="9"/>
      <c r="E24" s="13"/>
      <c r="F24" s="13"/>
      <c r="G24" s="13"/>
      <c r="H24" s="13"/>
      <c r="I24" s="13"/>
      <c r="J24" s="13"/>
      <c r="L24" s="9">
        <v>7</v>
      </c>
      <c r="M24" s="14">
        <v>6300</v>
      </c>
      <c r="O24" s="15" t="str">
        <f t="shared" si="1"/>
        <v xml:space="preserve">請於本列擇一打 ✔</v>
      </c>
      <c r="P24" s="15"/>
      <c r="Q24" s="15"/>
      <c r="R24" s="15"/>
    </row>
    <row r="25" ht="30" customHeight="1">
      <c r="A25" s="9" t="s">
        <v>35</v>
      </c>
      <c r="B25" s="9" t="s">
        <v>28</v>
      </c>
      <c r="C25" s="9"/>
      <c r="D25" s="9"/>
      <c r="E25" s="13"/>
      <c r="F25" s="13"/>
      <c r="G25" s="13"/>
      <c r="H25" s="13"/>
      <c r="I25" s="13"/>
      <c r="J25" s="13"/>
      <c r="L25" s="9">
        <v>9</v>
      </c>
      <c r="M25" s="14">
        <v>8100</v>
      </c>
      <c r="O25" s="15" t="str">
        <f t="shared" si="1"/>
        <v xml:space="preserve">請於本列擇一打 ✔</v>
      </c>
      <c r="P25" s="15"/>
      <c r="Q25" s="15"/>
      <c r="R25" s="15"/>
    </row>
    <row r="26" ht="30" customHeight="1">
      <c r="A26" s="9" t="s">
        <v>36</v>
      </c>
      <c r="B26" s="9" t="s">
        <v>28</v>
      </c>
      <c r="C26" s="9"/>
      <c r="D26" s="9"/>
      <c r="E26" s="13"/>
      <c r="F26" s="13"/>
      <c r="G26" s="13"/>
      <c r="H26" s="13"/>
      <c r="I26" s="13"/>
      <c r="J26" s="13"/>
      <c r="L26" s="9">
        <v>5</v>
      </c>
      <c r="M26" s="14">
        <v>4550</v>
      </c>
      <c r="O26" s="15" t="str">
        <f t="shared" si="1"/>
        <v xml:space="preserve">請於本列擇一打 ✔</v>
      </c>
      <c r="P26" s="15"/>
      <c r="Q26" s="15"/>
      <c r="R26" s="15"/>
    </row>
    <row r="27" ht="30" customHeight="1">
      <c r="A27" s="9" t="s">
        <v>37</v>
      </c>
      <c r="B27" s="9" t="s">
        <v>28</v>
      </c>
      <c r="C27" s="9"/>
      <c r="D27" s="9"/>
      <c r="E27" s="13"/>
      <c r="F27" s="13"/>
      <c r="G27" s="13"/>
      <c r="H27" s="13"/>
      <c r="I27" s="13"/>
      <c r="J27" s="13"/>
      <c r="L27" s="9">
        <v>8</v>
      </c>
      <c r="M27" s="14">
        <v>7200</v>
      </c>
      <c r="O27" s="15" t="str">
        <f t="shared" si="1"/>
        <v xml:space="preserve">請於本列擇一打 ✔</v>
      </c>
      <c r="P27" s="15"/>
      <c r="Q27" s="15"/>
      <c r="R27" s="15"/>
    </row>
    <row r="28" ht="30" customHeight="1">
      <c r="A28" s="9" t="s">
        <v>38</v>
      </c>
      <c r="B28" s="9" t="s">
        <v>28</v>
      </c>
      <c r="C28" s="9"/>
      <c r="D28" s="9"/>
      <c r="E28" s="13"/>
      <c r="F28" s="13"/>
      <c r="G28" s="13"/>
      <c r="H28" s="13"/>
      <c r="I28" s="13"/>
      <c r="J28" s="13"/>
      <c r="L28" s="9">
        <v>3</v>
      </c>
      <c r="M28" s="14">
        <v>2700</v>
      </c>
      <c r="O28" s="15" t="str">
        <f t="shared" si="1"/>
        <v xml:space="preserve">請於本列擇一打 ✔</v>
      </c>
      <c r="P28" s="15"/>
      <c r="Q28" s="15"/>
      <c r="R28" s="15"/>
    </row>
    <row r="29" ht="30" customHeight="1">
      <c r="A29" s="9" t="s">
        <v>39</v>
      </c>
      <c r="B29" s="9" t="s">
        <v>28</v>
      </c>
      <c r="C29" s="9"/>
      <c r="D29" s="9"/>
      <c r="E29" s="13"/>
      <c r="F29" s="13"/>
      <c r="G29" s="13"/>
      <c r="H29" s="13"/>
      <c r="I29" s="13"/>
      <c r="J29" s="13"/>
      <c r="L29" s="9">
        <v>6</v>
      </c>
      <c r="M29" s="14">
        <v>5550</v>
      </c>
      <c r="O29" s="15" t="str">
        <f t="shared" si="1"/>
        <v xml:space="preserve">請於本列擇一打 ✔</v>
      </c>
      <c r="P29" s="15"/>
      <c r="Q29" s="15"/>
      <c r="R29" s="15"/>
    </row>
    <row r="30" ht="30" customHeight="1">
      <c r="L30" s="6">
        <v>243</v>
      </c>
      <c r="M30" s="16">
        <v>219905</v>
      </c>
    </row>
  </sheetData>
  <sheetProtection algorithmName="SHA-512" hashValue="gOO+F5BkvWvgaB9XG9WeSq+Trl0XZ3WXXsC7N6mkyd9InITwK4nlUxipwRLtVOm/7eYEFhzqufy3ui3NuNj7ww==" saltValue="HkRciQNECGp3g+c0G3DGs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34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04E005B-00AA-4C82-9B7A-00DD001200C5}">
            <xm:f>(E29="✔")+(G29="✔")+(I29="✔")&gt;1</xm:f>
            <x14:dxf>
              <font>
                <color indexed="2"/>
              </font>
            </x14:dxf>
          </x14:cfRule>
          <xm:sqref>O29:R29</xm:sqref>
        </x14:conditionalFormatting>
        <x14:conditionalFormatting xmlns:xm="http://schemas.microsoft.com/office/excel/2006/main">
          <x14:cfRule type="expression" priority="24" id="{00F5005E-00E0-4CF9-8BFA-004700A600B6}">
            <xm:f>(E28="✔")+(G28="✔")+(I28="✔")&gt;1</xm:f>
            <x14:dxf>
              <font>
                <color indexed="2"/>
              </font>
            </x14:dxf>
          </x14:cfRule>
          <xm:sqref>O28:R28</xm:sqref>
        </x14:conditionalFormatting>
        <x14:conditionalFormatting xmlns:xm="http://schemas.microsoft.com/office/excel/2006/main">
          <x14:cfRule type="expression" priority="23" id="{00C0002E-0078-4B87-B980-0077005400D7}">
            <xm:f>(E27="✔")+(G27="✔")+(I27="✔")&gt;1</xm:f>
            <x14:dxf>
              <font>
                <color indexed="2"/>
              </font>
            </x14:dxf>
          </x14:cfRule>
          <xm:sqref>O27:R27</xm:sqref>
        </x14:conditionalFormatting>
        <x14:conditionalFormatting xmlns:xm="http://schemas.microsoft.com/office/excel/2006/main">
          <x14:cfRule type="expression" priority="22" id="{001F0082-004D-4E5A-909A-002E00CD00DA}">
            <xm:f>(E26="✔")+(G26="✔")+(I26="✔")&gt;1</xm:f>
            <x14:dxf>
              <font>
                <color indexed="2"/>
              </font>
            </x14:dxf>
          </x14:cfRule>
          <xm:sqref>O26:R26</xm:sqref>
        </x14:conditionalFormatting>
        <x14:conditionalFormatting xmlns:xm="http://schemas.microsoft.com/office/excel/2006/main">
          <x14:cfRule type="expression" priority="21" id="{00BF0030-0093-4509-8B7A-0037005F0060}">
            <xm:f>(E25="✔")+(G25="✔")+(I25="✔")&gt;1</xm:f>
            <x14:dxf>
              <font>
                <color indexed="2"/>
              </font>
            </x14:dxf>
          </x14:cfRule>
          <xm:sqref>O25:R25</xm:sqref>
        </x14:conditionalFormatting>
        <x14:conditionalFormatting xmlns:xm="http://schemas.microsoft.com/office/excel/2006/main">
          <x14:cfRule type="expression" priority="20" id="{002F0028-0088-4258-AD51-002A00770039}">
            <xm:f>(E24="✔")+(G24="✔")+(I24="✔")&gt;1</xm:f>
            <x14:dxf>
              <font>
                <color indexed="2"/>
              </font>
            </x14:dxf>
          </x14:cfRule>
          <xm:sqref>O24:R24</xm:sqref>
        </x14:conditionalFormatting>
        <x14:conditionalFormatting xmlns:xm="http://schemas.microsoft.com/office/excel/2006/main">
          <x14:cfRule type="expression" priority="19" id="{00F20024-00C3-4D18-8A7B-009500A000DD}">
            <xm:f>(E23="✔")+(G23="✔")+(I23="✔")&gt;1</xm:f>
            <x14:dxf>
              <font>
                <color indexed="2"/>
              </font>
            </x14:dxf>
          </x14:cfRule>
          <xm:sqref>O23:R23</xm:sqref>
        </x14:conditionalFormatting>
        <x14:conditionalFormatting xmlns:xm="http://schemas.microsoft.com/office/excel/2006/main">
          <x14:cfRule type="expression" priority="18" id="{00000009-00E0-4AA0-A389-005E00530090}">
            <xm:f>(E22="✔")+(G22="✔")+(I22="✔")&gt;1</xm:f>
            <x14:dxf>
              <font>
                <color indexed="2"/>
              </font>
            </x14:dxf>
          </x14:cfRule>
          <xm:sqref>O22:R22</xm:sqref>
        </x14:conditionalFormatting>
        <x14:conditionalFormatting xmlns:xm="http://schemas.microsoft.com/office/excel/2006/main">
          <x14:cfRule type="expression" priority="17" id="{000D0008-0013-42D4-A6F5-00E20041003F}">
            <xm:f>(E21="✔")+(G21="✔")+(I21="✔")&gt;1</xm:f>
            <x14:dxf>
              <font>
                <color indexed="2"/>
              </font>
            </x14:dxf>
          </x14:cfRule>
          <xm:sqref>O21:R21</xm:sqref>
        </x14:conditionalFormatting>
        <x14:conditionalFormatting xmlns:xm="http://schemas.microsoft.com/office/excel/2006/main">
          <x14:cfRule type="expression" priority="16" id="{00970011-0069-4DBA-821E-00400032008A}">
            <xm:f>(E20="✔")+(G20="✔")+(I20="✔")&gt;1</xm:f>
            <x14:dxf>
              <font>
                <color indexed="2"/>
              </font>
            </x14:dxf>
          </x14:cfRule>
          <xm:sqref>O20:R20</xm:sqref>
        </x14:conditionalFormatting>
        <x14:conditionalFormatting xmlns:xm="http://schemas.microsoft.com/office/excel/2006/main">
          <x14:cfRule type="expression" priority="15" id="{00FB0014-0020-496A-81FF-00FC00A70009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910014-00EF-4252-B1A4-00E500720073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940011-00E1-420A-9E16-00D900F70030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C40065-0088-4DBB-862A-007700520013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F50095-00F9-4882-881C-00E50061002F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99004E-001E-4B69-B659-0009007A006B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1D00B3-00AF-4C09-BFE1-009D00280015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E20080-0050-4DB3-B7CC-00EB002A0001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CA0029-0011-405F-B7D3-007C006500B2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66008F-00D6-4E51-A027-00880033008C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DC0025-0038-48DB-BFB9-0085002C00FE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1200F8-0018-4460-B9A2-009800100063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1200A7-0070-4086-8A3D-00460075007E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04005A-0097-4C06-9C44-0008002F00A3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7A007B-0031-4117-81ED-000C00DF00C3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AA00B4-0089-492C-A452-00900014004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E10:E29</xm:sqref>
        </x14:dataValidation>
        <x14:dataValidation xr:uid="{000E0097-002F-496B-8FCC-008700FB00F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E5:E29</xm:sqref>
        </x14:dataValidation>
        <x14:dataValidation xr:uid="{00F90069-005C-4936-B8F6-0002009F005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G10:G29</xm:sqref>
        </x14:dataValidation>
        <x14:dataValidation xr:uid="{00E800CD-0014-49A7-9CAB-00980075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G5:G29</xm:sqref>
        </x14:dataValidation>
        <x14:dataValidation xr:uid="{00E400FF-003F-42E6-A611-008A005D002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I10:I29</xm:sqref>
        </x14:dataValidation>
        <x14:dataValidation xr:uid="{001400B3-0000-43B5-8246-00690086003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40</v>
      </c>
      <c r="B1" t="s">
        <v>9</v>
      </c>
      <c r="C1" t="s">
        <v>41</v>
      </c>
    </row>
    <row r="2">
      <c r="A2" t="s">
        <v>42</v>
      </c>
      <c r="B2" t="s">
        <v>12</v>
      </c>
      <c r="C2" t="s">
        <v>43</v>
      </c>
    </row>
    <row r="3">
      <c r="A3" t="s">
        <v>44</v>
      </c>
      <c r="B3" t="s">
        <v>13</v>
      </c>
      <c r="C3" t="s">
        <v>45</v>
      </c>
    </row>
    <row r="4">
      <c r="A4" t="s">
        <v>46</v>
      </c>
      <c r="B4" t="s">
        <v>14</v>
      </c>
      <c r="C4" t="s">
        <v>47</v>
      </c>
    </row>
    <row r="5">
      <c r="A5" t="s">
        <v>48</v>
      </c>
      <c r="B5" t="s">
        <v>15</v>
      </c>
      <c r="C5" t="s">
        <v>49</v>
      </c>
    </row>
    <row r="6">
      <c r="A6" t="s">
        <v>50</v>
      </c>
      <c r="B6" t="s">
        <v>16</v>
      </c>
      <c r="C6" t="s">
        <v>51</v>
      </c>
    </row>
    <row r="7">
      <c r="A7" t="s">
        <v>52</v>
      </c>
      <c r="B7" t="s">
        <v>17</v>
      </c>
      <c r="C7" t="s">
        <v>53</v>
      </c>
    </row>
    <row r="8">
      <c r="A8" t="s">
        <v>54</v>
      </c>
      <c r="B8" t="s">
        <v>18</v>
      </c>
      <c r="C8" t="s">
        <v>55</v>
      </c>
    </row>
    <row r="9">
      <c r="A9" t="s">
        <v>56</v>
      </c>
      <c r="B9" t="s">
        <v>19</v>
      </c>
      <c r="C9" t="s">
        <v>57</v>
      </c>
    </row>
    <row r="10">
      <c r="A10" t="s">
        <v>58</v>
      </c>
      <c r="B10" t="s">
        <v>21</v>
      </c>
      <c r="C10" t="s">
        <v>59</v>
      </c>
    </row>
    <row r="11">
      <c r="A11" t="s">
        <v>60</v>
      </c>
      <c r="B11" t="s">
        <v>23</v>
      </c>
      <c r="C11" t="s">
        <v>59</v>
      </c>
    </row>
    <row r="12">
      <c r="A12" t="s">
        <v>61</v>
      </c>
      <c r="B12" t="s">
        <v>25</v>
      </c>
      <c r="C12" t="s">
        <v>59</v>
      </c>
    </row>
    <row r="13">
      <c r="A13" t="s">
        <v>62</v>
      </c>
      <c r="B13" t="s">
        <v>26</v>
      </c>
      <c r="C13" t="s">
        <v>59</v>
      </c>
    </row>
    <row r="14">
      <c r="A14" t="s">
        <v>63</v>
      </c>
      <c r="B14" t="s">
        <v>27</v>
      </c>
      <c r="C14" t="s">
        <v>59</v>
      </c>
    </row>
    <row r="15">
      <c r="A15" t="s">
        <v>64</v>
      </c>
      <c r="B15" t="s">
        <v>29</v>
      </c>
      <c r="C15" t="s">
        <v>59</v>
      </c>
    </row>
    <row r="16">
      <c r="A16" t="s">
        <v>65</v>
      </c>
      <c r="B16" t="s">
        <v>30</v>
      </c>
      <c r="C16" t="s">
        <v>59</v>
      </c>
    </row>
    <row r="17">
      <c r="A17" t="s">
        <v>66</v>
      </c>
      <c r="B17" t="s">
        <v>31</v>
      </c>
      <c r="C17" t="s">
        <v>59</v>
      </c>
    </row>
    <row r="18">
      <c r="A18" t="s">
        <v>67</v>
      </c>
      <c r="B18" t="s">
        <v>32</v>
      </c>
      <c r="C18" t="s">
        <v>59</v>
      </c>
    </row>
    <row r="19">
      <c r="A19" t="s">
        <v>68</v>
      </c>
      <c r="B19" t="s">
        <v>33</v>
      </c>
      <c r="C19" t="s">
        <v>59</v>
      </c>
    </row>
    <row r="20">
      <c r="A20" t="s">
        <v>69</v>
      </c>
      <c r="B20" t="s">
        <v>34</v>
      </c>
      <c r="C20" t="s">
        <v>59</v>
      </c>
    </row>
    <row r="21">
      <c r="A21" t="s">
        <v>70</v>
      </c>
      <c r="B21" t="s">
        <v>35</v>
      </c>
      <c r="C21" t="s">
        <v>59</v>
      </c>
    </row>
    <row r="22">
      <c r="A22" t="s">
        <v>71</v>
      </c>
      <c r="B22" t="s">
        <v>36</v>
      </c>
      <c r="C22" t="s">
        <v>59</v>
      </c>
    </row>
    <row r="23">
      <c r="A23" t="s">
        <v>72</v>
      </c>
      <c r="B23" t="s">
        <v>37</v>
      </c>
      <c r="C23" t="s">
        <v>59</v>
      </c>
    </row>
    <row r="24">
      <c r="A24" t="s">
        <v>73</v>
      </c>
      <c r="B24" t="s">
        <v>38</v>
      </c>
      <c r="C24" t="s">
        <v>59</v>
      </c>
    </row>
    <row r="25">
      <c r="A25" t="s">
        <v>74</v>
      </c>
      <c r="B25" t="s">
        <v>39</v>
      </c>
      <c r="C25" t="s">
        <v>59</v>
      </c>
    </row>
  </sheetData>
  <sheetProtection algorithmName="SHA-512" hashValue="BrFsMkdZx5mglaIFXjePPuBgUkpGuk+ESnj04bWe5tEYX1weYa3IhGUXEVhODWRHLgIIcjy5XPLPfPDunJS/7Q==" saltValue="7v945Uvs+IAv/dY9w6Nfm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2026-06-08T03:41:57Z</dcterms:modified>
</cp:coreProperties>
</file>