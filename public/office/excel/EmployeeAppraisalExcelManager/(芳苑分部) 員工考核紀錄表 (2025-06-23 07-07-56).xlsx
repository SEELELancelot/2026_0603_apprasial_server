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-108" yWindow="-108" windowWidth="23256" windowHeight="12456" activeTab="0"/>
  </bookViews>
  <sheets>
    <sheet sheetId="2" name="胡英舜" state="visible" r:id="rId4"/>
    <sheet sheetId="3" name="陳美玲" state="visible" r:id="rId5"/>
    <sheet sheetId="4" name="黃順恩" state="visible" r:id="rId6"/>
    <sheet sheetId="5" name="黃鈺婷" state="visible" r:id="rId7"/>
    <sheet sheetId="6" name="楊舒雅" state="visible" r:id="rId8"/>
    <sheet sheetId="7" name="洪嘉琦" state="visible" r:id="rId9"/>
  </sheets>
  <calcPr calcId="171027"/>
</workbook>
</file>

<file path=xl/sharedStrings.xml><?xml version="1.0" encoding="utf-8"?>
<sst xmlns="http://schemas.openxmlformats.org/spreadsheetml/2006/main" count="186" uniqueCount="36">
  <si>
    <t>114年彰化區漁會平時考核成績紀錄表(1-6月)</t>
  </si>
  <si>
    <t>姓名</t>
  </si>
  <si>
    <t>胡英舜</t>
  </si>
  <si>
    <t>服務部門</t>
  </si>
  <si>
    <t>芳苑分部</t>
  </si>
  <si>
    <t>考 核 項 目</t>
  </si>
  <si>
    <t>考核內容</t>
  </si>
  <si>
    <t>分數( 0-100 )</t>
  </si>
  <si>
    <t xml:space="preserve">工作知能及
公文績效</t>
  </si>
  <si>
    <t xml:space="preserve">嫻熟工作相關專業知識，且具有業務需要之基本電腦作業
能力，並能充分運用。公文處理均能掌握品質及時效，臨
時交辦案件亦能依限完成。</t>
  </si>
  <si>
    <t xml:space="preserve">創新研究及
簡化流程</t>
  </si>
  <si>
    <t xml:space="preserve">對於承辦業務能提出具體改進措施，或運用革新技術、方
法及管理知識，簡化工作流程，提升效能效率，增進工作
績效。</t>
  </si>
  <si>
    <t>服務態度</t>
  </si>
  <si>
    <t xml:space="preserve">負責盡職，自動自發，積極辦理業務，落實顧客導向，提
升服務品質。發揮團隊精神，對於工作與職務調整，及與
他人協調合作，能優先考量組織目標之達成。</t>
  </si>
  <si>
    <t>品德操守</t>
  </si>
  <si>
    <t xml:space="preserve">敦厚謙和，謹慎懇摯，廉潔自持，無驕恣貪惰，奢侈放蕩
，冶遊賭博，吸食毒品，足以損失名譽之行為。</t>
  </si>
  <si>
    <t xml:space="preserve">領導協調
能       力</t>
  </si>
  <si>
    <r>
      <rPr>
        <charset val="136"/>
        <family val="2"/>
        <sz val="11"/>
        <rFont val="微軟正黑體"/>
      </rPr>
      <t xml:space="preserve">具判斷決策溝通協調能力，並能傳授知識、經驗、技能，
適當指導同仁，且經常檢討工作計畫執行情形，達成預定
績效目標。</t>
    </r>
    <r>
      <rPr>
        <charset val="136"/>
        <color rgb="FFFF0000"/>
        <family val="2"/>
        <sz val="11"/>
        <rFont val="微軟正黑體"/>
      </rPr>
      <t xml:space="preserve">(主管職務始填) </t>
    </r>
    <r>
      <rPr>
        <charset val="136"/>
        <family val="1"/>
        <sz val="11"/>
        <rFont val="全字庫正宋體"/>
      </rPr>
      <t xml:space="preserve">  </t>
    </r>
  </si>
  <si>
    <t xml:space="preserve">年度工作
計       畫</t>
  </si>
  <si>
    <t xml:space="preserve">工作計畫按預定進度如期完成或較預定進度超前，充分達
成計畫目標，績效卓著。</t>
  </si>
  <si>
    <t xml:space="preserve"> 個人重大具體優劣事蹟(受考人如有工作、操行、學識、才能等重大具體優劣事蹟，足資紀錄者，應填於本欄 ，
 以作為考評之重要參據。)</t>
  </si>
  <si>
    <t>單位主管評定等級及分數 (請簽章)</t>
  </si>
  <si>
    <t>總幹事綜合考評 (請簽章)</t>
  </si>
  <si>
    <r>
      <rPr/>
      <t>附註 :  一</t>
    </r>
    <r>
      <rPr>
        <charset val="136"/>
        <color theme="1"/>
        <family val="2"/>
        <sz val="6"/>
        <rFont val="微軟正黑體"/>
      </rPr>
      <t xml:space="preserve">  </t>
    </r>
    <r>
      <rPr>
        <charset val="136"/>
        <color theme="1"/>
        <family val="2"/>
        <sz val="11"/>
        <rFont val="微軟正黑體"/>
      </rPr>
      <t>、依據漁會人事管理辦法第54條規定訂定，但各漁會得視業務特性及需要自行訂定。</t>
    </r>
  </si>
  <si>
    <t xml:space="preserve">           二 、平時考核紀錄等級分為6級，平時考核紀錄等級分述如下:</t>
  </si>
  <si>
    <t xml:space="preserve">                    優:90-99(表現優異，足為同仁表率。)</t>
  </si>
  <si>
    <t xml:space="preserve">                    甲:80-89(表現明顯地超出該職責的要求水準。)</t>
  </si>
  <si>
    <t xml:space="preserve">                    乙:70-79(表現均能達到要求水準。)</t>
  </si>
  <si>
    <t xml:space="preserve">                    丙:60-69(表現未盡符合基本要求。)</t>
  </si>
  <si>
    <t xml:space="preserve">                    丁:50-59(表現多未達基本要求，經勸導仍未改進者。)</t>
  </si>
  <si>
    <t xml:space="preserve">                    戊:40-49(無故曠工。)</t>
  </si>
  <si>
    <t>陳美玲</t>
  </si>
  <si>
    <t>黃順恩</t>
  </si>
  <si>
    <t>黃鈺婷</t>
  </si>
  <si>
    <t>楊舒雅</t>
  </si>
  <si>
    <t>洪嘉琦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</si>
</sst>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color theme="1"/>
      <family val="2"/>
      <scheme val="minor"/>
      <sz val="11"/>
      <name val="Calibri"/>
    </font>
    <font>
      <charset val="136"/>
      <color theme="1"/>
      <family val="2"/>
      <sz val="11"/>
      <name val="微軟正黑體"/>
    </font>
    <font>
      <color theme="1"/>
      <family val="2"/>
      <scheme val="minor"/>
      <sz val="11"/>
      <name val="新細明體"/>
    </font>
    <font>
      <b/>
      <charset val="136"/>
      <color theme="1"/>
      <family val="2"/>
      <sz val="16"/>
      <name val="微軟正黑體"/>
    </font>
    <font>
      <charset val="136"/>
      <color theme="1"/>
      <family val="2"/>
      <sz val="16"/>
      <name val="微軟正黑體"/>
    </font>
    <font>
      <charset val="136"/>
      <family val="2"/>
      <sz val="11"/>
      <name val="全字庫正宋體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2">
    <xf numFmtId="0" fontId="0" fillId="0" borderId="0" xfId="0"/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horizontal="left" vertical="top"/>
    </xf>
    <xf numFmtId="0" fontId="1" fillId="0" borderId="0" xfId="0" applyFont="1"/>
    <xf numFmtId="0" fontId="2" fillId="0" borderId="1" xfId="0" applyFont="1" applyBorder="1"/>
    <xf numFmtId="0" fontId="3" fillId="0" borderId="2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3" xfId="0" applyFont="1" applyBorder="1" applyAlignment="1">
      <alignment vertical="center" wrapText="1"/>
    </xf>
    <xf numFmtId="0" fontId="1" fillId="0" borderId="4" xfId="0" applyFont="1" applyBorder="1" applyAlignment="1">
      <alignment vertical="center" wrapText="1"/>
    </xf>
    <xf numFmtId="0" fontId="5" fillId="0" borderId="3" xfId="0" applyFont="1" applyBorder="1" applyAlignment="1">
      <alignment vertical="center" wrapText="1"/>
    </xf>
    <xf numFmtId="0" fontId="1" fillId="0" borderId="3" xfId="0" applyFont="1" applyBorder="1" applyAlignment="1">
      <alignment horizontal="left" vertical="center" wrapText="1"/>
    </xf>
    <xf numFmtId="0" fontId="1" fillId="0" borderId="5" xfId="0" applyFont="1" applyBorder="1" applyAlignment="1">
      <alignment horizontal="left" vertical="center" wrapText="1"/>
    </xf>
    <xf numFmtId="0" fontId="1" fillId="0" borderId="5" xfId="0" applyFont="1" applyBorder="1" applyAlignment="1">
      <alignment horizontal="left" vertical="center"/>
    </xf>
    <xf numFmtId="0" fontId="1" fillId="0" borderId="4" xfId="0" applyFont="1" applyBorder="1" applyAlignment="1">
      <alignment horizontal="left" vertical="center"/>
    </xf>
    <xf numFmtId="49" fontId="1" fillId="0" borderId="3" xfId="0" applyNumberFormat="1" applyFont="1" applyBorder="1" applyAlignment="1">
      <alignment horizontal="left" vertical="top" wrapText="1"/>
    </xf>
    <xf numFmtId="49" fontId="1" fillId="0" borderId="5" xfId="0" applyNumberFormat="1" applyFont="1" applyBorder="1" applyAlignment="1">
      <alignment horizontal="left" vertical="top" wrapText="1"/>
    </xf>
    <xf numFmtId="49" fontId="1" fillId="0" borderId="4" xfId="0" applyNumberFormat="1" applyFont="1" applyBorder="1" applyAlignment="1">
      <alignment horizontal="left" vertical="top" wrapText="1"/>
    </xf>
    <xf numFmtId="0" fontId="1" fillId="0" borderId="5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vertical="center"/>
    </xf>
    <xf numFmtId="0" fontId="2" fillId="0" borderId="0" xfId="0" applyFont="1" applyAlignment="1">
      <alignment horizontal="left"/>
    </xf>
    <xf numFmtId="0" fontId="1" fillId="0" borderId="0" xfId="0" applyFont="1" applyAlignment="1">
      <alignment horizontal="left" vertical="center"/>
    </xf>
    <xf numFmtId="0" fontId="1" fillId="0" borderId="0" xfId="0" applyFont="1" applyAlignment="1">
      <alignment horizontal="left" vertical="center" wrapText="1"/>
    </xf>
    <xf numFmtId="0" fontId="1" fillId="0" borderId="0" xfId="0" applyFont="1" applyAlignment="1">
      <alignment horizontal="left" wrapText="1"/>
    </xf>
    <xf numFmtId="0" fontId="1" fillId="0" borderId="0" xfId="0" applyFont="1" applyAlignment="1">
      <alignment horizontal="left"/>
    </xf>
    <xf numFmtId="0" fontId="1" fillId="0" borderId="0" xfId="0" applyFon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E25"/>
  <sheetViews>
    <sheetView workbookViewId="0" zoomScale="100" zoomScaleNormal="100">
      <selection activeCell="D4" sqref="D4"/>
    </sheetView>
  </sheetViews>
  <sheetFormatPr defaultRowHeight="15" outlineLevelRow="0" outlineLevelCol="0" x14ac:dyDescent="0.3"/>
  <cols>
    <col min="1" max="2" width="17.75" style="1" customWidth="1"/>
    <col min="3" max="3" width="39.625" style="2" customWidth="1"/>
    <col min="4" max="4" width="16.375" style="3" customWidth="1"/>
    <col min="5" max="5" width="27.625" style="3" customWidth="1"/>
  </cols>
  <sheetData>
    <row r="1" ht="27.75" customHeight="1" spans="1:5" s="4" customFormat="1" x14ac:dyDescent="0.25">
      <c r="A1" s="5" t="s">
        <v>0</v>
      </c>
      <c r="B1" s="5"/>
      <c r="C1" s="6"/>
      <c r="D1" s="6"/>
      <c r="E1" s="6"/>
    </row>
    <row r="2" ht="35.25" customHeight="1" spans="1:5" x14ac:dyDescent="0.25">
      <c r="A2" s="7" t="s">
        <v>1</v>
      </c>
      <c r="B2" s="8" t="s">
        <v>2</v>
      </c>
      <c r="C2" s="9"/>
      <c r="D2" s="10" t="s">
        <v>3</v>
      </c>
      <c r="E2" s="10" t="s">
        <v>4</v>
      </c>
    </row>
    <row r="3" ht="30" customHeight="1" spans="1:5" x14ac:dyDescent="0.25">
      <c r="A3" s="7" t="s">
        <v>5</v>
      </c>
      <c r="B3" s="11" t="s">
        <v>6</v>
      </c>
      <c r="C3" s="12"/>
      <c r="D3" s="10" t="s">
        <v>7</v>
      </c>
      <c r="E3" s="10"/>
    </row>
    <row r="4" ht="64.5" customHeight="1" spans="1:5" x14ac:dyDescent="0.25">
      <c r="A4" s="7" t="s">
        <v>8</v>
      </c>
      <c r="B4" s="13" t="s">
        <v>9</v>
      </c>
      <c r="C4" s="14"/>
      <c r="D4" s="10"/>
      <c r="E4" s="10"/>
    </row>
    <row r="5" ht="50.25" customHeight="1" spans="1:5" x14ac:dyDescent="0.25">
      <c r="A5" s="7" t="s">
        <v>10</v>
      </c>
      <c r="B5" s="13" t="s">
        <v>11</v>
      </c>
      <c r="C5" s="14"/>
      <c r="D5" s="10"/>
      <c r="E5" s="10"/>
    </row>
    <row r="6" ht="65.25" customHeight="1" spans="1:5" x14ac:dyDescent="0.25">
      <c r="A6" s="7" t="s">
        <v>12</v>
      </c>
      <c r="B6" s="13" t="s">
        <v>13</v>
      </c>
      <c r="C6" s="14"/>
      <c r="D6" s="10"/>
      <c r="E6" s="10"/>
    </row>
    <row r="7" ht="49.5" customHeight="1" spans="1:5" x14ac:dyDescent="0.25">
      <c r="A7" s="7" t="s">
        <v>14</v>
      </c>
      <c r="B7" s="13" t="s">
        <v>15</v>
      </c>
      <c r="C7" s="14"/>
      <c r="D7" s="10"/>
      <c r="E7" s="10"/>
    </row>
    <row r="8" ht="65.25" customHeight="1" spans="1:5" x14ac:dyDescent="0.25">
      <c r="A8" s="7" t="s">
        <v>16</v>
      </c>
      <c r="B8" s="15" t="s">
        <v>17</v>
      </c>
      <c r="C8" s="14"/>
      <c r="D8" s="10"/>
      <c r="E8" s="10"/>
    </row>
    <row r="9" ht="41.25" customHeight="1" spans="1:5" x14ac:dyDescent="0.25">
      <c r="A9" s="7" t="s">
        <v>18</v>
      </c>
      <c r="B9" s="13" t="s">
        <v>19</v>
      </c>
      <c r="C9" s="14"/>
      <c r="D9" s="10"/>
      <c r="E9" s="10"/>
    </row>
    <row r="10" ht="48" customHeight="1" spans="1:5" x14ac:dyDescent="0.25">
      <c r="A10" s="16" t="s">
        <v>20</v>
      </c>
      <c r="B10" s="17"/>
      <c r="C10" s="18"/>
      <c r="D10" s="18"/>
      <c r="E10" s="19"/>
    </row>
    <row r="11" ht="48" customHeight="1" spans="1:5" x14ac:dyDescent="0.25">
      <c r="A11" s="20"/>
      <c r="B11" s="21"/>
      <c r="C11" s="21"/>
      <c r="D11" s="21"/>
      <c r="E11" s="22"/>
    </row>
    <row r="12" ht="25.5" customHeight="1" spans="1:5" x14ac:dyDescent="0.25">
      <c r="A12" s="11" t="s">
        <v>21</v>
      </c>
      <c r="B12" s="23"/>
      <c r="C12" s="12"/>
      <c r="D12" s="11" t="s">
        <v>22</v>
      </c>
      <c r="E12" s="12"/>
    </row>
    <row r="13" ht="54" customHeight="1" spans="1:5" x14ac:dyDescent="0.25">
      <c r="A13" s="10">
        <f>IFERROR("分數:"&amp;ROUND(AVERAGE(D4:E9),0),"")</f>
      </c>
      <c r="B13" s="10"/>
      <c r="C13" s="10">
        <f>IFERROR(_xlfn.IFS(
ROUND(AVERAGE(D4:E9),0)&gt;=90,"等級:優",
ROUND(AVERAGE(D4:E9),0)&gt;=80,"等級:甲",
ROUND(AVERAGE(D4:E9),0)&gt;=70,"等級:乙",
ROUND(AVERAGE(D4:E9),0)&gt;=60,"等級:丙",
ROUND(AVERAGE(D4:E9),0)&gt;=50,"等級:丁",
ROUND(AVERAGE(D4:E9),0)&gt;=0, "等級:戊"),"")</f>
      </c>
      <c r="D13" s="10"/>
      <c r="E13" s="10"/>
    </row>
    <row r="14" ht="2.25" customHeight="1" spans="1:5" x14ac:dyDescent="0.25">
      <c r="A14" s="24"/>
      <c r="B14" s="24"/>
      <c r="C14" s="25"/>
      <c r="D14" s="24"/>
      <c r="E14" s="24"/>
    </row>
    <row r="15" spans="1:5" s="26" customFormat="1" x14ac:dyDescent="0.25">
      <c r="A15" s="27" t="s">
        <v>23</v>
      </c>
      <c r="B15" s="28"/>
      <c r="C15" s="28"/>
      <c r="D15" s="29"/>
      <c r="E15" s="30"/>
    </row>
    <row r="16" spans="1:5" s="26" customFormat="1" x14ac:dyDescent="0.25">
      <c r="A16" s="27" t="s">
        <v>24</v>
      </c>
      <c r="B16" s="28"/>
      <c r="C16" s="28"/>
      <c r="D16" s="30"/>
      <c r="E16" s="30"/>
    </row>
    <row r="17" spans="1:5" s="26" customFormat="1" x14ac:dyDescent="0.25">
      <c r="A17" s="27" t="s">
        <v>25</v>
      </c>
      <c r="B17" s="28"/>
      <c r="C17" s="28"/>
      <c r="D17" s="30"/>
      <c r="E17" s="30"/>
    </row>
    <row r="18" spans="1:5" s="26" customFormat="1" x14ac:dyDescent="0.25">
      <c r="A18" s="27" t="s">
        <v>26</v>
      </c>
      <c r="B18" s="28"/>
      <c r="C18" s="28"/>
      <c r="D18" s="30"/>
      <c r="E18" s="30"/>
    </row>
    <row r="19" spans="1:5" s="26" customFormat="1" x14ac:dyDescent="0.25">
      <c r="A19" s="27" t="s">
        <v>27</v>
      </c>
      <c r="B19" s="28"/>
      <c r="C19" s="28"/>
      <c r="D19" s="30"/>
      <c r="E19" s="30"/>
    </row>
    <row r="20" spans="1:5" s="26" customFormat="1" x14ac:dyDescent="0.25">
      <c r="A20" s="27" t="s">
        <v>28</v>
      </c>
      <c r="B20" s="28"/>
      <c r="C20" s="28"/>
      <c r="D20" s="30"/>
      <c r="E20" s="30"/>
    </row>
    <row r="21" spans="1:5" s="26" customFormat="1" x14ac:dyDescent="0.25">
      <c r="A21" s="27" t="s">
        <v>29</v>
      </c>
      <c r="B21" s="28"/>
      <c r="C21" s="28"/>
      <c r="D21" s="30"/>
      <c r="E21" s="30"/>
    </row>
    <row r="22" spans="1:5" s="26" customFormat="1" x14ac:dyDescent="0.25">
      <c r="A22" s="27" t="s">
        <v>30</v>
      </c>
      <c r="B22" s="28"/>
      <c r="C22" s="28"/>
      <c r="D22" s="30"/>
      <c r="E22" s="30"/>
    </row>
    <row r="23" spans="1:5" s="26" customFormat="1" x14ac:dyDescent="0.25">
      <c r="A23" s="27"/>
      <c r="B23" s="28"/>
      <c r="C23" s="28"/>
      <c r="D23" s="30"/>
      <c r="E23" s="30"/>
    </row>
    <row r="24" spans="1:1" x14ac:dyDescent="0.25">
      <c r="A24" s="31"/>
    </row>
    <row r="25" spans="1:1" x14ac:dyDescent="0.25">
      <c r="A25" s="31"/>
    </row>
  </sheetData>
  <mergeCells count="22">
    <mergeCell ref="A1:E1"/>
    <mergeCell ref="B2:C2"/>
    <mergeCell ref="B3:C3"/>
    <mergeCell ref="D3:E3"/>
    <mergeCell ref="B4:C4"/>
    <mergeCell ref="D4:E4"/>
    <mergeCell ref="B5:C5"/>
    <mergeCell ref="D5:E5"/>
    <mergeCell ref="B6:C6"/>
    <mergeCell ref="D6:E6"/>
    <mergeCell ref="B7:C7"/>
    <mergeCell ref="D7:E7"/>
    <mergeCell ref="B8:C8"/>
    <mergeCell ref="D8:E8"/>
    <mergeCell ref="B9:C9"/>
    <mergeCell ref="D9:E9"/>
    <mergeCell ref="A10:E10"/>
    <mergeCell ref="A11:E11"/>
    <mergeCell ref="A12:C12"/>
    <mergeCell ref="D12:E12"/>
    <mergeCell ref="A13:B13"/>
    <mergeCell ref="D13:E13"/>
  </mergeCells>
  <dataValidations count="2">
    <dataValidation type="whole" allowBlank="1" showInputMessage="1" prompt="請輸入0-100之間" showErrorMessage="1" error="請輸入0-100之間" sqref="D4:E4">
      <formula1>0</formula1>
      <formula2>100</formula2>
    </dataValidation>
    <dataValidation type="whole" allowBlank="1" showInputMessage="1" showErrorMessage="1" error="請輸入0-100之間" sqref="D5:E9">
      <formula1>0</formula1>
      <formula2>100</formula2>
    </dataValidation>
  </dataValidations>
  <pageMargins left="0.2362204724409449" right="0" top="0.7480314960629921" bottom="0.7480314960629921" header="0.31496062992125984" footer="0.31496062992125984"/>
  <pageSetup paperSize="9" orientation="portrait" horizontalDpi="4294967295" verticalDpi="4294967295" scale="91" fitToWidth="1" fitToHeight="1" firstPageNumber="1" useFirstPageNumber="1" copies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E25"/>
  <sheetViews>
    <sheetView workbookViewId="0" zoomScale="100" zoomScaleNormal="100">
      <selection activeCell="D4" sqref="D4"/>
    </sheetView>
  </sheetViews>
  <sheetFormatPr defaultRowHeight="15" outlineLevelRow="0" outlineLevelCol="0" x14ac:dyDescent="0.3"/>
  <cols>
    <col min="1" max="2" width="17.75" style="1" customWidth="1"/>
    <col min="3" max="3" width="39.625" style="2" customWidth="1"/>
    <col min="4" max="4" width="16.375" style="3" customWidth="1"/>
    <col min="5" max="5" width="27.625" style="3" customWidth="1"/>
  </cols>
  <sheetData>
    <row r="1" ht="27.75" customHeight="1" spans="1:5" s="4" customFormat="1" x14ac:dyDescent="0.25">
      <c r="A1" s="5" t="s">
        <v>0</v>
      </c>
      <c r="B1" s="5"/>
      <c r="C1" s="6"/>
      <c r="D1" s="6"/>
      <c r="E1" s="6"/>
    </row>
    <row r="2" ht="35.25" customHeight="1" spans="1:5" x14ac:dyDescent="0.25">
      <c r="A2" s="7" t="s">
        <v>1</v>
      </c>
      <c r="B2" s="8" t="s">
        <v>31</v>
      </c>
      <c r="C2" s="9"/>
      <c r="D2" s="10" t="s">
        <v>3</v>
      </c>
      <c r="E2" s="10" t="s">
        <v>4</v>
      </c>
    </row>
    <row r="3" ht="30" customHeight="1" spans="1:5" x14ac:dyDescent="0.25">
      <c r="A3" s="7" t="s">
        <v>5</v>
      </c>
      <c r="B3" s="11" t="s">
        <v>6</v>
      </c>
      <c r="C3" s="12"/>
      <c r="D3" s="10" t="s">
        <v>7</v>
      </c>
      <c r="E3" s="10"/>
    </row>
    <row r="4" ht="64.5" customHeight="1" spans="1:5" x14ac:dyDescent="0.25">
      <c r="A4" s="7" t="s">
        <v>8</v>
      </c>
      <c r="B4" s="13" t="s">
        <v>9</v>
      </c>
      <c r="C4" s="14"/>
      <c r="D4" s="10"/>
      <c r="E4" s="10"/>
    </row>
    <row r="5" ht="50.25" customHeight="1" spans="1:5" x14ac:dyDescent="0.25">
      <c r="A5" s="7" t="s">
        <v>10</v>
      </c>
      <c r="B5" s="13" t="s">
        <v>11</v>
      </c>
      <c r="C5" s="14"/>
      <c r="D5" s="10"/>
      <c r="E5" s="10"/>
    </row>
    <row r="6" ht="65.25" customHeight="1" spans="1:5" x14ac:dyDescent="0.25">
      <c r="A6" s="7" t="s">
        <v>12</v>
      </c>
      <c r="B6" s="13" t="s">
        <v>13</v>
      </c>
      <c r="C6" s="14"/>
      <c r="D6" s="10"/>
      <c r="E6" s="10"/>
    </row>
    <row r="7" ht="49.5" customHeight="1" spans="1:5" x14ac:dyDescent="0.25">
      <c r="A7" s="7" t="s">
        <v>14</v>
      </c>
      <c r="B7" s="13" t="s">
        <v>15</v>
      </c>
      <c r="C7" s="14"/>
      <c r="D7" s="10"/>
      <c r="E7" s="10"/>
    </row>
    <row r="8" ht="65.25" customHeight="1" spans="1:5" x14ac:dyDescent="0.25">
      <c r="A8" s="7" t="s">
        <v>16</v>
      </c>
      <c r="B8" s="15" t="s">
        <v>17</v>
      </c>
      <c r="C8" s="14"/>
      <c r="D8" s="10"/>
      <c r="E8" s="10"/>
    </row>
    <row r="9" ht="41.25" customHeight="1" spans="1:5" x14ac:dyDescent="0.25">
      <c r="A9" s="7" t="s">
        <v>18</v>
      </c>
      <c r="B9" s="13" t="s">
        <v>19</v>
      </c>
      <c r="C9" s="14"/>
      <c r="D9" s="10"/>
      <c r="E9" s="10"/>
    </row>
    <row r="10" ht="48" customHeight="1" spans="1:5" x14ac:dyDescent="0.25">
      <c r="A10" s="16" t="s">
        <v>20</v>
      </c>
      <c r="B10" s="17"/>
      <c r="C10" s="18"/>
      <c r="D10" s="18"/>
      <c r="E10" s="19"/>
    </row>
    <row r="11" ht="48" customHeight="1" spans="1:5" x14ac:dyDescent="0.25">
      <c r="A11" s="20"/>
      <c r="B11" s="21"/>
      <c r="C11" s="21"/>
      <c r="D11" s="21"/>
      <c r="E11" s="22"/>
    </row>
    <row r="12" ht="25.5" customHeight="1" spans="1:5" x14ac:dyDescent="0.25">
      <c r="A12" s="11" t="s">
        <v>21</v>
      </c>
      <c r="B12" s="23"/>
      <c r="C12" s="12"/>
      <c r="D12" s="11" t="s">
        <v>22</v>
      </c>
      <c r="E12" s="12"/>
    </row>
    <row r="13" ht="54" customHeight="1" spans="1:5" x14ac:dyDescent="0.25">
      <c r="A13" s="10">
        <f>IFERROR("分數:"&amp;ROUND(AVERAGE(D4:E9),0),"")</f>
      </c>
      <c r="B13" s="10"/>
      <c r="C13" s="10">
        <f>IFERROR(_xlfn.IFS(
ROUND(AVERAGE(D4:E9),0)&gt;=90,"等級:優",
ROUND(AVERAGE(D4:E9),0)&gt;=80,"等級:甲",
ROUND(AVERAGE(D4:E9),0)&gt;=70,"等級:乙",
ROUND(AVERAGE(D4:E9),0)&gt;=60,"等級:丙",
ROUND(AVERAGE(D4:E9),0)&gt;=50,"等級:丁",
ROUND(AVERAGE(D4:E9),0)&gt;=0, "等級:戊"),"")</f>
      </c>
      <c r="D13" s="10"/>
      <c r="E13" s="10"/>
    </row>
    <row r="14" ht="2.25" customHeight="1" spans="1:5" x14ac:dyDescent="0.25">
      <c r="A14" s="24"/>
      <c r="B14" s="24"/>
      <c r="C14" s="25"/>
      <c r="D14" s="24"/>
      <c r="E14" s="24"/>
    </row>
    <row r="15" spans="1:5" s="26" customFormat="1" x14ac:dyDescent="0.25">
      <c r="A15" s="27" t="s">
        <v>23</v>
      </c>
      <c r="B15" s="28"/>
      <c r="C15" s="28"/>
      <c r="D15" s="29"/>
      <c r="E15" s="30"/>
    </row>
    <row r="16" spans="1:5" s="26" customFormat="1" x14ac:dyDescent="0.25">
      <c r="A16" s="27" t="s">
        <v>24</v>
      </c>
      <c r="B16" s="28"/>
      <c r="C16" s="28"/>
      <c r="D16" s="30"/>
      <c r="E16" s="30"/>
    </row>
    <row r="17" spans="1:5" s="26" customFormat="1" x14ac:dyDescent="0.25">
      <c r="A17" s="27" t="s">
        <v>25</v>
      </c>
      <c r="B17" s="28"/>
      <c r="C17" s="28"/>
      <c r="D17" s="30"/>
      <c r="E17" s="30"/>
    </row>
    <row r="18" spans="1:5" s="26" customFormat="1" x14ac:dyDescent="0.25">
      <c r="A18" s="27" t="s">
        <v>26</v>
      </c>
      <c r="B18" s="28"/>
      <c r="C18" s="28"/>
      <c r="D18" s="30"/>
      <c r="E18" s="30"/>
    </row>
    <row r="19" spans="1:5" s="26" customFormat="1" x14ac:dyDescent="0.25">
      <c r="A19" s="27" t="s">
        <v>27</v>
      </c>
      <c r="B19" s="28"/>
      <c r="C19" s="28"/>
      <c r="D19" s="30"/>
      <c r="E19" s="30"/>
    </row>
    <row r="20" spans="1:5" s="26" customFormat="1" x14ac:dyDescent="0.25">
      <c r="A20" s="27" t="s">
        <v>28</v>
      </c>
      <c r="B20" s="28"/>
      <c r="C20" s="28"/>
      <c r="D20" s="30"/>
      <c r="E20" s="30"/>
    </row>
    <row r="21" spans="1:5" s="26" customFormat="1" x14ac:dyDescent="0.25">
      <c r="A21" s="27" t="s">
        <v>29</v>
      </c>
      <c r="B21" s="28"/>
      <c r="C21" s="28"/>
      <c r="D21" s="30"/>
      <c r="E21" s="30"/>
    </row>
    <row r="22" spans="1:5" s="26" customFormat="1" x14ac:dyDescent="0.25">
      <c r="A22" s="27" t="s">
        <v>30</v>
      </c>
      <c r="B22" s="28"/>
      <c r="C22" s="28"/>
      <c r="D22" s="30"/>
      <c r="E22" s="30"/>
    </row>
    <row r="23" spans="1:5" s="26" customFormat="1" x14ac:dyDescent="0.25">
      <c r="A23" s="27"/>
      <c r="B23" s="28"/>
      <c r="C23" s="28"/>
      <c r="D23" s="30"/>
      <c r="E23" s="30"/>
    </row>
    <row r="24" spans="1:1" x14ac:dyDescent="0.25">
      <c r="A24" s="31"/>
    </row>
    <row r="25" spans="1:1" x14ac:dyDescent="0.25">
      <c r="A25" s="31"/>
    </row>
  </sheetData>
  <mergeCells count="22">
    <mergeCell ref="A1:E1"/>
    <mergeCell ref="B2:C2"/>
    <mergeCell ref="B3:C3"/>
    <mergeCell ref="D3:E3"/>
    <mergeCell ref="B4:C4"/>
    <mergeCell ref="D4:E4"/>
    <mergeCell ref="B5:C5"/>
    <mergeCell ref="D5:E5"/>
    <mergeCell ref="B6:C6"/>
    <mergeCell ref="D6:E6"/>
    <mergeCell ref="B7:C7"/>
    <mergeCell ref="D7:E7"/>
    <mergeCell ref="B8:C8"/>
    <mergeCell ref="D8:E8"/>
    <mergeCell ref="B9:C9"/>
    <mergeCell ref="D9:E9"/>
    <mergeCell ref="A10:E10"/>
    <mergeCell ref="A11:E11"/>
    <mergeCell ref="A12:C12"/>
    <mergeCell ref="D12:E12"/>
    <mergeCell ref="A13:B13"/>
    <mergeCell ref="D13:E13"/>
  </mergeCells>
  <dataValidations count="2">
    <dataValidation type="whole" allowBlank="1" showInputMessage="1" prompt="請輸入0-100之間" showErrorMessage="1" error="請輸入0-100之間" sqref="D4:E4">
      <formula1>0</formula1>
      <formula2>100</formula2>
    </dataValidation>
    <dataValidation type="whole" allowBlank="1" showInputMessage="1" showErrorMessage="1" error="請輸入0-100之間" sqref="D5:E9">
      <formula1>0</formula1>
      <formula2>100</formula2>
    </dataValidation>
  </dataValidations>
  <pageMargins left="0.2362204724409449" right="0" top="0.7480314960629921" bottom="0.7480314960629921" header="0.31496062992125984" footer="0.31496062992125984"/>
  <pageSetup paperSize="9" orientation="portrait" horizontalDpi="4294967295" verticalDpi="4294967295" scale="91" fitToWidth="1" fitToHeight="1" firstPageNumber="1" useFirstPageNumber="1" copies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E25"/>
  <sheetViews>
    <sheetView workbookViewId="0" zoomScale="100" zoomScaleNormal="100">
      <selection activeCell="D4" sqref="D4"/>
    </sheetView>
  </sheetViews>
  <sheetFormatPr defaultRowHeight="15" outlineLevelRow="0" outlineLevelCol="0" x14ac:dyDescent="0.3"/>
  <cols>
    <col min="1" max="2" width="17.75" style="1" customWidth="1"/>
    <col min="3" max="3" width="39.625" style="2" customWidth="1"/>
    <col min="4" max="4" width="16.375" style="3" customWidth="1"/>
    <col min="5" max="5" width="27.625" style="3" customWidth="1"/>
  </cols>
  <sheetData>
    <row r="1" ht="27.75" customHeight="1" spans="1:5" s="4" customFormat="1" x14ac:dyDescent="0.25">
      <c r="A1" s="5" t="s">
        <v>0</v>
      </c>
      <c r="B1" s="5"/>
      <c r="C1" s="6"/>
      <c r="D1" s="6"/>
      <c r="E1" s="6"/>
    </row>
    <row r="2" ht="35.25" customHeight="1" spans="1:5" x14ac:dyDescent="0.25">
      <c r="A2" s="7" t="s">
        <v>1</v>
      </c>
      <c r="B2" s="8" t="s">
        <v>32</v>
      </c>
      <c r="C2" s="9"/>
      <c r="D2" s="10" t="s">
        <v>3</v>
      </c>
      <c r="E2" s="10" t="s">
        <v>4</v>
      </c>
    </row>
    <row r="3" ht="30" customHeight="1" spans="1:5" x14ac:dyDescent="0.25">
      <c r="A3" s="7" t="s">
        <v>5</v>
      </c>
      <c r="B3" s="11" t="s">
        <v>6</v>
      </c>
      <c r="C3" s="12"/>
      <c r="D3" s="10" t="s">
        <v>7</v>
      </c>
      <c r="E3" s="10"/>
    </row>
    <row r="4" ht="64.5" customHeight="1" spans="1:5" x14ac:dyDescent="0.25">
      <c r="A4" s="7" t="s">
        <v>8</v>
      </c>
      <c r="B4" s="13" t="s">
        <v>9</v>
      </c>
      <c r="C4" s="14"/>
      <c r="D4" s="10"/>
      <c r="E4" s="10"/>
    </row>
    <row r="5" ht="50.25" customHeight="1" spans="1:5" x14ac:dyDescent="0.25">
      <c r="A5" s="7" t="s">
        <v>10</v>
      </c>
      <c r="B5" s="13" t="s">
        <v>11</v>
      </c>
      <c r="C5" s="14"/>
      <c r="D5" s="10"/>
      <c r="E5" s="10"/>
    </row>
    <row r="6" ht="65.25" customHeight="1" spans="1:5" x14ac:dyDescent="0.25">
      <c r="A6" s="7" t="s">
        <v>12</v>
      </c>
      <c r="B6" s="13" t="s">
        <v>13</v>
      </c>
      <c r="C6" s="14"/>
      <c r="D6" s="10"/>
      <c r="E6" s="10"/>
    </row>
    <row r="7" ht="49.5" customHeight="1" spans="1:5" x14ac:dyDescent="0.25">
      <c r="A7" s="7" t="s">
        <v>14</v>
      </c>
      <c r="B7" s="13" t="s">
        <v>15</v>
      </c>
      <c r="C7" s="14"/>
      <c r="D7" s="10"/>
      <c r="E7" s="10"/>
    </row>
    <row r="8" ht="65.25" customHeight="1" spans="1:5" x14ac:dyDescent="0.25">
      <c r="A8" s="7" t="s">
        <v>16</v>
      </c>
      <c r="B8" s="15" t="s">
        <v>17</v>
      </c>
      <c r="C8" s="14"/>
      <c r="D8" s="10"/>
      <c r="E8" s="10"/>
    </row>
    <row r="9" ht="41.25" customHeight="1" spans="1:5" x14ac:dyDescent="0.25">
      <c r="A9" s="7" t="s">
        <v>18</v>
      </c>
      <c r="B9" s="13" t="s">
        <v>19</v>
      </c>
      <c r="C9" s="14"/>
      <c r="D9" s="10"/>
      <c r="E9" s="10"/>
    </row>
    <row r="10" ht="48" customHeight="1" spans="1:5" x14ac:dyDescent="0.25">
      <c r="A10" s="16" t="s">
        <v>20</v>
      </c>
      <c r="B10" s="17"/>
      <c r="C10" s="18"/>
      <c r="D10" s="18"/>
      <c r="E10" s="19"/>
    </row>
    <row r="11" ht="48" customHeight="1" spans="1:5" x14ac:dyDescent="0.25">
      <c r="A11" s="20"/>
      <c r="B11" s="21"/>
      <c r="C11" s="21"/>
      <c r="D11" s="21"/>
      <c r="E11" s="22"/>
    </row>
    <row r="12" ht="25.5" customHeight="1" spans="1:5" x14ac:dyDescent="0.25">
      <c r="A12" s="11" t="s">
        <v>21</v>
      </c>
      <c r="B12" s="23"/>
      <c r="C12" s="12"/>
      <c r="D12" s="11" t="s">
        <v>22</v>
      </c>
      <c r="E12" s="12"/>
    </row>
    <row r="13" ht="54" customHeight="1" spans="1:5" x14ac:dyDescent="0.25">
      <c r="A13" s="10">
        <f>IFERROR("分數:"&amp;ROUND(AVERAGE(D4:E9),0),"")</f>
      </c>
      <c r="B13" s="10"/>
      <c r="C13" s="10">
        <f>IFERROR(_xlfn.IFS(
ROUND(AVERAGE(D4:E9),0)&gt;=90,"等級:優",
ROUND(AVERAGE(D4:E9),0)&gt;=80,"等級:甲",
ROUND(AVERAGE(D4:E9),0)&gt;=70,"等級:乙",
ROUND(AVERAGE(D4:E9),0)&gt;=60,"等級:丙",
ROUND(AVERAGE(D4:E9),0)&gt;=50,"等級:丁",
ROUND(AVERAGE(D4:E9),0)&gt;=0, "等級:戊"),"")</f>
      </c>
      <c r="D13" s="10"/>
      <c r="E13" s="10"/>
    </row>
    <row r="14" ht="2.25" customHeight="1" spans="1:5" x14ac:dyDescent="0.25">
      <c r="A14" s="24"/>
      <c r="B14" s="24"/>
      <c r="C14" s="25"/>
      <c r="D14" s="24"/>
      <c r="E14" s="24"/>
    </row>
    <row r="15" spans="1:5" s="26" customFormat="1" x14ac:dyDescent="0.25">
      <c r="A15" s="27" t="s">
        <v>23</v>
      </c>
      <c r="B15" s="28"/>
      <c r="C15" s="28"/>
      <c r="D15" s="29"/>
      <c r="E15" s="30"/>
    </row>
    <row r="16" spans="1:5" s="26" customFormat="1" x14ac:dyDescent="0.25">
      <c r="A16" s="27" t="s">
        <v>24</v>
      </c>
      <c r="B16" s="28"/>
      <c r="C16" s="28"/>
      <c r="D16" s="30"/>
      <c r="E16" s="30"/>
    </row>
    <row r="17" spans="1:5" s="26" customFormat="1" x14ac:dyDescent="0.25">
      <c r="A17" s="27" t="s">
        <v>25</v>
      </c>
      <c r="B17" s="28"/>
      <c r="C17" s="28"/>
      <c r="D17" s="30"/>
      <c r="E17" s="30"/>
    </row>
    <row r="18" spans="1:5" s="26" customFormat="1" x14ac:dyDescent="0.25">
      <c r="A18" s="27" t="s">
        <v>26</v>
      </c>
      <c r="B18" s="28"/>
      <c r="C18" s="28"/>
      <c r="D18" s="30"/>
      <c r="E18" s="30"/>
    </row>
    <row r="19" spans="1:5" s="26" customFormat="1" x14ac:dyDescent="0.25">
      <c r="A19" s="27" t="s">
        <v>27</v>
      </c>
      <c r="B19" s="28"/>
      <c r="C19" s="28"/>
      <c r="D19" s="30"/>
      <c r="E19" s="30"/>
    </row>
    <row r="20" spans="1:5" s="26" customFormat="1" x14ac:dyDescent="0.25">
      <c r="A20" s="27" t="s">
        <v>28</v>
      </c>
      <c r="B20" s="28"/>
      <c r="C20" s="28"/>
      <c r="D20" s="30"/>
      <c r="E20" s="30"/>
    </row>
    <row r="21" spans="1:5" s="26" customFormat="1" x14ac:dyDescent="0.25">
      <c r="A21" s="27" t="s">
        <v>29</v>
      </c>
      <c r="B21" s="28"/>
      <c r="C21" s="28"/>
      <c r="D21" s="30"/>
      <c r="E21" s="30"/>
    </row>
    <row r="22" spans="1:5" s="26" customFormat="1" x14ac:dyDescent="0.25">
      <c r="A22" s="27" t="s">
        <v>30</v>
      </c>
      <c r="B22" s="28"/>
      <c r="C22" s="28"/>
      <c r="D22" s="30"/>
      <c r="E22" s="30"/>
    </row>
    <row r="23" spans="1:5" s="26" customFormat="1" x14ac:dyDescent="0.25">
      <c r="A23" s="27"/>
      <c r="B23" s="28"/>
      <c r="C23" s="28"/>
      <c r="D23" s="30"/>
      <c r="E23" s="30"/>
    </row>
    <row r="24" spans="1:1" x14ac:dyDescent="0.25">
      <c r="A24" s="31"/>
    </row>
    <row r="25" spans="1:1" x14ac:dyDescent="0.25">
      <c r="A25" s="31"/>
    </row>
  </sheetData>
  <mergeCells count="22">
    <mergeCell ref="A1:E1"/>
    <mergeCell ref="B2:C2"/>
    <mergeCell ref="B3:C3"/>
    <mergeCell ref="D3:E3"/>
    <mergeCell ref="B4:C4"/>
    <mergeCell ref="D4:E4"/>
    <mergeCell ref="B5:C5"/>
    <mergeCell ref="D5:E5"/>
    <mergeCell ref="B6:C6"/>
    <mergeCell ref="D6:E6"/>
    <mergeCell ref="B7:C7"/>
    <mergeCell ref="D7:E7"/>
    <mergeCell ref="B8:C8"/>
    <mergeCell ref="D8:E8"/>
    <mergeCell ref="B9:C9"/>
    <mergeCell ref="D9:E9"/>
    <mergeCell ref="A10:E10"/>
    <mergeCell ref="A11:E11"/>
    <mergeCell ref="A12:C12"/>
    <mergeCell ref="D12:E12"/>
    <mergeCell ref="A13:B13"/>
    <mergeCell ref="D13:E13"/>
  </mergeCells>
  <dataValidations count="2">
    <dataValidation type="whole" allowBlank="1" showInputMessage="1" prompt="請輸入0-100之間" showErrorMessage="1" error="請輸入0-100之間" sqref="D4:E4">
      <formula1>0</formula1>
      <formula2>100</formula2>
    </dataValidation>
    <dataValidation type="whole" allowBlank="1" showInputMessage="1" showErrorMessage="1" error="請輸入0-100之間" sqref="D5:E9">
      <formula1>0</formula1>
      <formula2>100</formula2>
    </dataValidation>
  </dataValidations>
  <pageMargins left="0.2362204724409449" right="0" top="0.7480314960629921" bottom="0.7480314960629921" header="0.31496062992125984" footer="0.31496062992125984"/>
  <pageSetup paperSize="9" orientation="portrait" horizontalDpi="4294967295" verticalDpi="4294967295" scale="91" fitToWidth="1" fitToHeight="1" firstPageNumber="1" useFirstPageNumber="1" copies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E25"/>
  <sheetViews>
    <sheetView workbookViewId="0" zoomScale="100" zoomScaleNormal="100">
      <selection activeCell="D4" sqref="D4"/>
    </sheetView>
  </sheetViews>
  <sheetFormatPr defaultRowHeight="15" outlineLevelRow="0" outlineLevelCol="0" x14ac:dyDescent="0.3"/>
  <cols>
    <col min="1" max="2" width="17.75" style="1" customWidth="1"/>
    <col min="3" max="3" width="39.625" style="2" customWidth="1"/>
    <col min="4" max="4" width="16.375" style="3" customWidth="1"/>
    <col min="5" max="5" width="27.625" style="3" customWidth="1"/>
  </cols>
  <sheetData>
    <row r="1" ht="27.75" customHeight="1" spans="1:5" s="4" customFormat="1" x14ac:dyDescent="0.25">
      <c r="A1" s="5" t="s">
        <v>0</v>
      </c>
      <c r="B1" s="5"/>
      <c r="C1" s="6"/>
      <c r="D1" s="6"/>
      <c r="E1" s="6"/>
    </row>
    <row r="2" ht="35.25" customHeight="1" spans="1:5" x14ac:dyDescent="0.25">
      <c r="A2" s="7" t="s">
        <v>1</v>
      </c>
      <c r="B2" s="8" t="s">
        <v>33</v>
      </c>
      <c r="C2" s="9"/>
      <c r="D2" s="10" t="s">
        <v>3</v>
      </c>
      <c r="E2" s="10" t="s">
        <v>4</v>
      </c>
    </row>
    <row r="3" ht="30" customHeight="1" spans="1:5" x14ac:dyDescent="0.25">
      <c r="A3" s="7" t="s">
        <v>5</v>
      </c>
      <c r="B3" s="11" t="s">
        <v>6</v>
      </c>
      <c r="C3" s="12"/>
      <c r="D3" s="10" t="s">
        <v>7</v>
      </c>
      <c r="E3" s="10"/>
    </row>
    <row r="4" ht="64.5" customHeight="1" spans="1:5" x14ac:dyDescent="0.25">
      <c r="A4" s="7" t="s">
        <v>8</v>
      </c>
      <c r="B4" s="13" t="s">
        <v>9</v>
      </c>
      <c r="C4" s="14"/>
      <c r="D4" s="10"/>
      <c r="E4" s="10"/>
    </row>
    <row r="5" ht="50.25" customHeight="1" spans="1:5" x14ac:dyDescent="0.25">
      <c r="A5" s="7" t="s">
        <v>10</v>
      </c>
      <c r="B5" s="13" t="s">
        <v>11</v>
      </c>
      <c r="C5" s="14"/>
      <c r="D5" s="10"/>
      <c r="E5" s="10"/>
    </row>
    <row r="6" ht="65.25" customHeight="1" spans="1:5" x14ac:dyDescent="0.25">
      <c r="A6" s="7" t="s">
        <v>12</v>
      </c>
      <c r="B6" s="13" t="s">
        <v>13</v>
      </c>
      <c r="C6" s="14"/>
      <c r="D6" s="10"/>
      <c r="E6" s="10"/>
    </row>
    <row r="7" ht="49.5" customHeight="1" spans="1:5" x14ac:dyDescent="0.25">
      <c r="A7" s="7" t="s">
        <v>14</v>
      </c>
      <c r="B7" s="13" t="s">
        <v>15</v>
      </c>
      <c r="C7" s="14"/>
      <c r="D7" s="10"/>
      <c r="E7" s="10"/>
    </row>
    <row r="8" ht="65.25" customHeight="1" spans="1:5" x14ac:dyDescent="0.25">
      <c r="A8" s="7" t="s">
        <v>16</v>
      </c>
      <c r="B8" s="15" t="s">
        <v>17</v>
      </c>
      <c r="C8" s="14"/>
      <c r="D8" s="10"/>
      <c r="E8" s="10"/>
    </row>
    <row r="9" ht="41.25" customHeight="1" spans="1:5" x14ac:dyDescent="0.25">
      <c r="A9" s="7" t="s">
        <v>18</v>
      </c>
      <c r="B9" s="13" t="s">
        <v>19</v>
      </c>
      <c r="C9" s="14"/>
      <c r="D9" s="10"/>
      <c r="E9" s="10"/>
    </row>
    <row r="10" ht="48" customHeight="1" spans="1:5" x14ac:dyDescent="0.25">
      <c r="A10" s="16" t="s">
        <v>20</v>
      </c>
      <c r="B10" s="17"/>
      <c r="C10" s="18"/>
      <c r="D10" s="18"/>
      <c r="E10" s="19"/>
    </row>
    <row r="11" ht="48" customHeight="1" spans="1:5" x14ac:dyDescent="0.25">
      <c r="A11" s="20"/>
      <c r="B11" s="21"/>
      <c r="C11" s="21"/>
      <c r="D11" s="21"/>
      <c r="E11" s="22"/>
    </row>
    <row r="12" ht="25.5" customHeight="1" spans="1:5" x14ac:dyDescent="0.25">
      <c r="A12" s="11" t="s">
        <v>21</v>
      </c>
      <c r="B12" s="23"/>
      <c r="C12" s="12"/>
      <c r="D12" s="11" t="s">
        <v>22</v>
      </c>
      <c r="E12" s="12"/>
    </row>
    <row r="13" ht="54" customHeight="1" spans="1:5" x14ac:dyDescent="0.25">
      <c r="A13" s="10">
        <f>IFERROR("分數:"&amp;ROUND(AVERAGE(D4:E9),0),"")</f>
      </c>
      <c r="B13" s="10"/>
      <c r="C13" s="10">
        <f>IFERROR(_xlfn.IFS(
ROUND(AVERAGE(D4:E9),0)&gt;=90,"等級:優",
ROUND(AVERAGE(D4:E9),0)&gt;=80,"等級:甲",
ROUND(AVERAGE(D4:E9),0)&gt;=70,"等級:乙",
ROUND(AVERAGE(D4:E9),0)&gt;=60,"等級:丙",
ROUND(AVERAGE(D4:E9),0)&gt;=50,"等級:丁",
ROUND(AVERAGE(D4:E9),0)&gt;=0, "等級:戊"),"")</f>
      </c>
      <c r="D13" s="10"/>
      <c r="E13" s="10"/>
    </row>
    <row r="14" ht="2.25" customHeight="1" spans="1:5" x14ac:dyDescent="0.25">
      <c r="A14" s="24"/>
      <c r="B14" s="24"/>
      <c r="C14" s="25"/>
      <c r="D14" s="24"/>
      <c r="E14" s="24"/>
    </row>
    <row r="15" spans="1:5" s="26" customFormat="1" x14ac:dyDescent="0.25">
      <c r="A15" s="27" t="s">
        <v>23</v>
      </c>
      <c r="B15" s="28"/>
      <c r="C15" s="28"/>
      <c r="D15" s="29"/>
      <c r="E15" s="30"/>
    </row>
    <row r="16" spans="1:5" s="26" customFormat="1" x14ac:dyDescent="0.25">
      <c r="A16" s="27" t="s">
        <v>24</v>
      </c>
      <c r="B16" s="28"/>
      <c r="C16" s="28"/>
      <c r="D16" s="30"/>
      <c r="E16" s="30"/>
    </row>
    <row r="17" spans="1:5" s="26" customFormat="1" x14ac:dyDescent="0.25">
      <c r="A17" s="27" t="s">
        <v>25</v>
      </c>
      <c r="B17" s="28"/>
      <c r="C17" s="28"/>
      <c r="D17" s="30"/>
      <c r="E17" s="30"/>
    </row>
    <row r="18" spans="1:5" s="26" customFormat="1" x14ac:dyDescent="0.25">
      <c r="A18" s="27" t="s">
        <v>26</v>
      </c>
      <c r="B18" s="28"/>
      <c r="C18" s="28"/>
      <c r="D18" s="30"/>
      <c r="E18" s="30"/>
    </row>
    <row r="19" spans="1:5" s="26" customFormat="1" x14ac:dyDescent="0.25">
      <c r="A19" s="27" t="s">
        <v>27</v>
      </c>
      <c r="B19" s="28"/>
      <c r="C19" s="28"/>
      <c r="D19" s="30"/>
      <c r="E19" s="30"/>
    </row>
    <row r="20" spans="1:5" s="26" customFormat="1" x14ac:dyDescent="0.25">
      <c r="A20" s="27" t="s">
        <v>28</v>
      </c>
      <c r="B20" s="28"/>
      <c r="C20" s="28"/>
      <c r="D20" s="30"/>
      <c r="E20" s="30"/>
    </row>
    <row r="21" spans="1:5" s="26" customFormat="1" x14ac:dyDescent="0.25">
      <c r="A21" s="27" t="s">
        <v>29</v>
      </c>
      <c r="B21" s="28"/>
      <c r="C21" s="28"/>
      <c r="D21" s="30"/>
      <c r="E21" s="30"/>
    </row>
    <row r="22" spans="1:5" s="26" customFormat="1" x14ac:dyDescent="0.25">
      <c r="A22" s="27" t="s">
        <v>30</v>
      </c>
      <c r="B22" s="28"/>
      <c r="C22" s="28"/>
      <c r="D22" s="30"/>
      <c r="E22" s="30"/>
    </row>
    <row r="23" spans="1:5" s="26" customFormat="1" x14ac:dyDescent="0.25">
      <c r="A23" s="27"/>
      <c r="B23" s="28"/>
      <c r="C23" s="28"/>
      <c r="D23" s="30"/>
      <c r="E23" s="30"/>
    </row>
    <row r="24" spans="1:1" x14ac:dyDescent="0.25">
      <c r="A24" s="31"/>
    </row>
    <row r="25" spans="1:1" x14ac:dyDescent="0.25">
      <c r="A25" s="31"/>
    </row>
  </sheetData>
  <mergeCells count="22">
    <mergeCell ref="A1:E1"/>
    <mergeCell ref="B2:C2"/>
    <mergeCell ref="B3:C3"/>
    <mergeCell ref="D3:E3"/>
    <mergeCell ref="B4:C4"/>
    <mergeCell ref="D4:E4"/>
    <mergeCell ref="B5:C5"/>
    <mergeCell ref="D5:E5"/>
    <mergeCell ref="B6:C6"/>
    <mergeCell ref="D6:E6"/>
    <mergeCell ref="B7:C7"/>
    <mergeCell ref="D7:E7"/>
    <mergeCell ref="B8:C8"/>
    <mergeCell ref="D8:E8"/>
    <mergeCell ref="B9:C9"/>
    <mergeCell ref="D9:E9"/>
    <mergeCell ref="A10:E10"/>
    <mergeCell ref="A11:E11"/>
    <mergeCell ref="A12:C12"/>
    <mergeCell ref="D12:E12"/>
    <mergeCell ref="A13:B13"/>
    <mergeCell ref="D13:E13"/>
  </mergeCells>
  <dataValidations count="2">
    <dataValidation type="whole" allowBlank="1" showInputMessage="1" prompt="請輸入0-100之間" showErrorMessage="1" error="請輸入0-100之間" sqref="D4:E4">
      <formula1>0</formula1>
      <formula2>100</formula2>
    </dataValidation>
    <dataValidation type="whole" allowBlank="1" showInputMessage="1" showErrorMessage="1" error="請輸入0-100之間" sqref="D5:E9">
      <formula1>0</formula1>
      <formula2>100</formula2>
    </dataValidation>
  </dataValidations>
  <pageMargins left="0.2362204724409449" right="0" top="0.7480314960629921" bottom="0.7480314960629921" header="0.31496062992125984" footer="0.31496062992125984"/>
  <pageSetup paperSize="9" orientation="portrait" horizontalDpi="4294967295" verticalDpi="4294967295" scale="91" fitToWidth="1" fitToHeight="1" firstPageNumber="1" useFirstPageNumber="1" copies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E25"/>
  <sheetViews>
    <sheetView workbookViewId="0" zoomScale="100" zoomScaleNormal="100">
      <selection activeCell="D4" sqref="D4"/>
    </sheetView>
  </sheetViews>
  <sheetFormatPr defaultRowHeight="15" outlineLevelRow="0" outlineLevelCol="0" x14ac:dyDescent="0.3"/>
  <cols>
    <col min="1" max="2" width="17.75" style="1" customWidth="1"/>
    <col min="3" max="3" width="39.625" style="2" customWidth="1"/>
    <col min="4" max="4" width="16.375" style="3" customWidth="1"/>
    <col min="5" max="5" width="27.625" style="3" customWidth="1"/>
  </cols>
  <sheetData>
    <row r="1" ht="27.75" customHeight="1" spans="1:5" s="4" customFormat="1" x14ac:dyDescent="0.25">
      <c r="A1" s="5" t="s">
        <v>0</v>
      </c>
      <c r="B1" s="5"/>
      <c r="C1" s="6"/>
      <c r="D1" s="6"/>
      <c r="E1" s="6"/>
    </row>
    <row r="2" ht="35.25" customHeight="1" spans="1:5" x14ac:dyDescent="0.25">
      <c r="A2" s="7" t="s">
        <v>1</v>
      </c>
      <c r="B2" s="8" t="s">
        <v>34</v>
      </c>
      <c r="C2" s="9"/>
      <c r="D2" s="10" t="s">
        <v>3</v>
      </c>
      <c r="E2" s="10" t="s">
        <v>4</v>
      </c>
    </row>
    <row r="3" ht="30" customHeight="1" spans="1:5" x14ac:dyDescent="0.25">
      <c r="A3" s="7" t="s">
        <v>5</v>
      </c>
      <c r="B3" s="11" t="s">
        <v>6</v>
      </c>
      <c r="C3" s="12"/>
      <c r="D3" s="10" t="s">
        <v>7</v>
      </c>
      <c r="E3" s="10"/>
    </row>
    <row r="4" ht="64.5" customHeight="1" spans="1:5" x14ac:dyDescent="0.25">
      <c r="A4" s="7" t="s">
        <v>8</v>
      </c>
      <c r="B4" s="13" t="s">
        <v>9</v>
      </c>
      <c r="C4" s="14"/>
      <c r="D4" s="10"/>
      <c r="E4" s="10"/>
    </row>
    <row r="5" ht="50.25" customHeight="1" spans="1:5" x14ac:dyDescent="0.25">
      <c r="A5" s="7" t="s">
        <v>10</v>
      </c>
      <c r="B5" s="13" t="s">
        <v>11</v>
      </c>
      <c r="C5" s="14"/>
      <c r="D5" s="10"/>
      <c r="E5" s="10"/>
    </row>
    <row r="6" ht="65.25" customHeight="1" spans="1:5" x14ac:dyDescent="0.25">
      <c r="A6" s="7" t="s">
        <v>12</v>
      </c>
      <c r="B6" s="13" t="s">
        <v>13</v>
      </c>
      <c r="C6" s="14"/>
      <c r="D6" s="10"/>
      <c r="E6" s="10"/>
    </row>
    <row r="7" ht="49.5" customHeight="1" spans="1:5" x14ac:dyDescent="0.25">
      <c r="A7" s="7" t="s">
        <v>14</v>
      </c>
      <c r="B7" s="13" t="s">
        <v>15</v>
      </c>
      <c r="C7" s="14"/>
      <c r="D7" s="10"/>
      <c r="E7" s="10"/>
    </row>
    <row r="8" ht="65.25" customHeight="1" spans="1:5" x14ac:dyDescent="0.25">
      <c r="A8" s="7" t="s">
        <v>16</v>
      </c>
      <c r="B8" s="15" t="s">
        <v>17</v>
      </c>
      <c r="C8" s="14"/>
      <c r="D8" s="10"/>
      <c r="E8" s="10"/>
    </row>
    <row r="9" ht="41.25" customHeight="1" spans="1:5" x14ac:dyDescent="0.25">
      <c r="A9" s="7" t="s">
        <v>18</v>
      </c>
      <c r="B9" s="13" t="s">
        <v>19</v>
      </c>
      <c r="C9" s="14"/>
      <c r="D9" s="10"/>
      <c r="E9" s="10"/>
    </row>
    <row r="10" ht="48" customHeight="1" spans="1:5" x14ac:dyDescent="0.25">
      <c r="A10" s="16" t="s">
        <v>20</v>
      </c>
      <c r="B10" s="17"/>
      <c r="C10" s="18"/>
      <c r="D10" s="18"/>
      <c r="E10" s="19"/>
    </row>
    <row r="11" ht="48" customHeight="1" spans="1:5" x14ac:dyDescent="0.25">
      <c r="A11" s="20"/>
      <c r="B11" s="21"/>
      <c r="C11" s="21"/>
      <c r="D11" s="21"/>
      <c r="E11" s="22"/>
    </row>
    <row r="12" ht="25.5" customHeight="1" spans="1:5" x14ac:dyDescent="0.25">
      <c r="A12" s="11" t="s">
        <v>21</v>
      </c>
      <c r="B12" s="23"/>
      <c r="C12" s="12"/>
      <c r="D12" s="11" t="s">
        <v>22</v>
      </c>
      <c r="E12" s="12"/>
    </row>
    <row r="13" ht="54" customHeight="1" spans="1:5" x14ac:dyDescent="0.25">
      <c r="A13" s="10">
        <f>IFERROR("分數:"&amp;ROUND(AVERAGE(D4:E9),0),"")</f>
      </c>
      <c r="B13" s="10"/>
      <c r="C13" s="10">
        <f>IFERROR(_xlfn.IFS(
ROUND(AVERAGE(D4:E9),0)&gt;=90,"等級:優",
ROUND(AVERAGE(D4:E9),0)&gt;=80,"等級:甲",
ROUND(AVERAGE(D4:E9),0)&gt;=70,"等級:乙",
ROUND(AVERAGE(D4:E9),0)&gt;=60,"等級:丙",
ROUND(AVERAGE(D4:E9),0)&gt;=50,"等級:丁",
ROUND(AVERAGE(D4:E9),0)&gt;=0, "等級:戊"),"")</f>
      </c>
      <c r="D13" s="10"/>
      <c r="E13" s="10"/>
    </row>
    <row r="14" ht="2.25" customHeight="1" spans="1:5" x14ac:dyDescent="0.25">
      <c r="A14" s="24"/>
      <c r="B14" s="24"/>
      <c r="C14" s="25"/>
      <c r="D14" s="24"/>
      <c r="E14" s="24"/>
    </row>
    <row r="15" spans="1:5" s="26" customFormat="1" x14ac:dyDescent="0.25">
      <c r="A15" s="27" t="s">
        <v>23</v>
      </c>
      <c r="B15" s="28"/>
      <c r="C15" s="28"/>
      <c r="D15" s="29"/>
      <c r="E15" s="30"/>
    </row>
    <row r="16" spans="1:5" s="26" customFormat="1" x14ac:dyDescent="0.25">
      <c r="A16" s="27" t="s">
        <v>24</v>
      </c>
      <c r="B16" s="28"/>
      <c r="C16" s="28"/>
      <c r="D16" s="30"/>
      <c r="E16" s="30"/>
    </row>
    <row r="17" spans="1:5" s="26" customFormat="1" x14ac:dyDescent="0.25">
      <c r="A17" s="27" t="s">
        <v>25</v>
      </c>
      <c r="B17" s="28"/>
      <c r="C17" s="28"/>
      <c r="D17" s="30"/>
      <c r="E17" s="30"/>
    </row>
    <row r="18" spans="1:5" s="26" customFormat="1" x14ac:dyDescent="0.25">
      <c r="A18" s="27" t="s">
        <v>26</v>
      </c>
      <c r="B18" s="28"/>
      <c r="C18" s="28"/>
      <c r="D18" s="30"/>
      <c r="E18" s="30"/>
    </row>
    <row r="19" spans="1:5" s="26" customFormat="1" x14ac:dyDescent="0.25">
      <c r="A19" s="27" t="s">
        <v>27</v>
      </c>
      <c r="B19" s="28"/>
      <c r="C19" s="28"/>
      <c r="D19" s="30"/>
      <c r="E19" s="30"/>
    </row>
    <row r="20" spans="1:5" s="26" customFormat="1" x14ac:dyDescent="0.25">
      <c r="A20" s="27" t="s">
        <v>28</v>
      </c>
      <c r="B20" s="28"/>
      <c r="C20" s="28"/>
      <c r="D20" s="30"/>
      <c r="E20" s="30"/>
    </row>
    <row r="21" spans="1:5" s="26" customFormat="1" x14ac:dyDescent="0.25">
      <c r="A21" s="27" t="s">
        <v>29</v>
      </c>
      <c r="B21" s="28"/>
      <c r="C21" s="28"/>
      <c r="D21" s="30"/>
      <c r="E21" s="30"/>
    </row>
    <row r="22" spans="1:5" s="26" customFormat="1" x14ac:dyDescent="0.25">
      <c r="A22" s="27" t="s">
        <v>30</v>
      </c>
      <c r="B22" s="28"/>
      <c r="C22" s="28"/>
      <c r="D22" s="30"/>
      <c r="E22" s="30"/>
    </row>
    <row r="23" spans="1:5" s="26" customFormat="1" x14ac:dyDescent="0.25">
      <c r="A23" s="27"/>
      <c r="B23" s="28"/>
      <c r="C23" s="28"/>
      <c r="D23" s="30"/>
      <c r="E23" s="30"/>
    </row>
    <row r="24" spans="1:1" x14ac:dyDescent="0.25">
      <c r="A24" s="31"/>
    </row>
    <row r="25" spans="1:1" x14ac:dyDescent="0.25">
      <c r="A25" s="31"/>
    </row>
  </sheetData>
  <mergeCells count="22">
    <mergeCell ref="A1:E1"/>
    <mergeCell ref="B2:C2"/>
    <mergeCell ref="B3:C3"/>
    <mergeCell ref="D3:E3"/>
    <mergeCell ref="B4:C4"/>
    <mergeCell ref="D4:E4"/>
    <mergeCell ref="B5:C5"/>
    <mergeCell ref="D5:E5"/>
    <mergeCell ref="B6:C6"/>
    <mergeCell ref="D6:E6"/>
    <mergeCell ref="B7:C7"/>
    <mergeCell ref="D7:E7"/>
    <mergeCell ref="B8:C8"/>
    <mergeCell ref="D8:E8"/>
    <mergeCell ref="B9:C9"/>
    <mergeCell ref="D9:E9"/>
    <mergeCell ref="A10:E10"/>
    <mergeCell ref="A11:E11"/>
    <mergeCell ref="A12:C12"/>
    <mergeCell ref="D12:E12"/>
    <mergeCell ref="A13:B13"/>
    <mergeCell ref="D13:E13"/>
  </mergeCells>
  <dataValidations count="2">
    <dataValidation type="whole" allowBlank="1" showInputMessage="1" prompt="請輸入0-100之間" showErrorMessage="1" error="請輸入0-100之間" sqref="D4:E4">
      <formula1>0</formula1>
      <formula2>100</formula2>
    </dataValidation>
    <dataValidation type="whole" allowBlank="1" showInputMessage="1" showErrorMessage="1" error="請輸入0-100之間" sqref="D5:E9">
      <formula1>0</formula1>
      <formula2>100</formula2>
    </dataValidation>
  </dataValidations>
  <pageMargins left="0.2362204724409449" right="0" top="0.7480314960629921" bottom="0.7480314960629921" header="0.31496062992125984" footer="0.31496062992125984"/>
  <pageSetup paperSize="9" orientation="portrait" horizontalDpi="4294967295" verticalDpi="4294967295" scale="91" fitToWidth="1" fitToHeight="1" firstPageNumber="1" useFirstPageNumber="1" copies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E25"/>
  <sheetViews>
    <sheetView workbookViewId="0" zoomScale="100" zoomScaleNormal="100">
      <selection activeCell="D4" sqref="D4"/>
    </sheetView>
  </sheetViews>
  <sheetFormatPr defaultRowHeight="15" outlineLevelRow="0" outlineLevelCol="0" x14ac:dyDescent="0.3"/>
  <cols>
    <col min="1" max="2" width="17.75" style="1" customWidth="1"/>
    <col min="3" max="3" width="39.625" style="2" customWidth="1"/>
    <col min="4" max="4" width="16.375" style="3" customWidth="1"/>
    <col min="5" max="5" width="27.625" style="3" customWidth="1"/>
  </cols>
  <sheetData>
    <row r="1" ht="27.75" customHeight="1" spans="1:5" s="4" customFormat="1" x14ac:dyDescent="0.25">
      <c r="A1" s="5" t="s">
        <v>0</v>
      </c>
      <c r="B1" s="5"/>
      <c r="C1" s="6"/>
      <c r="D1" s="6"/>
      <c r="E1" s="6"/>
    </row>
    <row r="2" ht="35.25" customHeight="1" spans="1:5" x14ac:dyDescent="0.25">
      <c r="A2" s="7" t="s">
        <v>1</v>
      </c>
      <c r="B2" s="8" t="s">
        <v>35</v>
      </c>
      <c r="C2" s="9"/>
      <c r="D2" s="10" t="s">
        <v>3</v>
      </c>
      <c r="E2" s="10" t="s">
        <v>4</v>
      </c>
    </row>
    <row r="3" ht="30" customHeight="1" spans="1:5" x14ac:dyDescent="0.25">
      <c r="A3" s="7" t="s">
        <v>5</v>
      </c>
      <c r="B3" s="11" t="s">
        <v>6</v>
      </c>
      <c r="C3" s="12"/>
      <c r="D3" s="10" t="s">
        <v>7</v>
      </c>
      <c r="E3" s="10"/>
    </row>
    <row r="4" ht="64.5" customHeight="1" spans="1:5" x14ac:dyDescent="0.25">
      <c r="A4" s="7" t="s">
        <v>8</v>
      </c>
      <c r="B4" s="13" t="s">
        <v>9</v>
      </c>
      <c r="C4" s="14"/>
      <c r="D4" s="10"/>
      <c r="E4" s="10"/>
    </row>
    <row r="5" ht="50.25" customHeight="1" spans="1:5" x14ac:dyDescent="0.25">
      <c r="A5" s="7" t="s">
        <v>10</v>
      </c>
      <c r="B5" s="13" t="s">
        <v>11</v>
      </c>
      <c r="C5" s="14"/>
      <c r="D5" s="10"/>
      <c r="E5" s="10"/>
    </row>
    <row r="6" ht="65.25" customHeight="1" spans="1:5" x14ac:dyDescent="0.25">
      <c r="A6" s="7" t="s">
        <v>12</v>
      </c>
      <c r="B6" s="13" t="s">
        <v>13</v>
      </c>
      <c r="C6" s="14"/>
      <c r="D6" s="10"/>
      <c r="E6" s="10"/>
    </row>
    <row r="7" ht="49.5" customHeight="1" spans="1:5" x14ac:dyDescent="0.25">
      <c r="A7" s="7" t="s">
        <v>14</v>
      </c>
      <c r="B7" s="13" t="s">
        <v>15</v>
      </c>
      <c r="C7" s="14"/>
      <c r="D7" s="10"/>
      <c r="E7" s="10"/>
    </row>
    <row r="8" ht="65.25" customHeight="1" spans="1:5" x14ac:dyDescent="0.25">
      <c r="A8" s="7" t="s">
        <v>16</v>
      </c>
      <c r="B8" s="15" t="s">
        <v>17</v>
      </c>
      <c r="C8" s="14"/>
      <c r="D8" s="10"/>
      <c r="E8" s="10"/>
    </row>
    <row r="9" ht="41.25" customHeight="1" spans="1:5" x14ac:dyDescent="0.25">
      <c r="A9" s="7" t="s">
        <v>18</v>
      </c>
      <c r="B9" s="13" t="s">
        <v>19</v>
      </c>
      <c r="C9" s="14"/>
      <c r="D9" s="10"/>
      <c r="E9" s="10"/>
    </row>
    <row r="10" ht="48" customHeight="1" spans="1:5" x14ac:dyDescent="0.25">
      <c r="A10" s="16" t="s">
        <v>20</v>
      </c>
      <c r="B10" s="17"/>
      <c r="C10" s="18"/>
      <c r="D10" s="18"/>
      <c r="E10" s="19"/>
    </row>
    <row r="11" ht="48" customHeight="1" spans="1:5" x14ac:dyDescent="0.25">
      <c r="A11" s="20"/>
      <c r="B11" s="21"/>
      <c r="C11" s="21"/>
      <c r="D11" s="21"/>
      <c r="E11" s="22"/>
    </row>
    <row r="12" ht="25.5" customHeight="1" spans="1:5" x14ac:dyDescent="0.25">
      <c r="A12" s="11" t="s">
        <v>21</v>
      </c>
      <c r="B12" s="23"/>
      <c r="C12" s="12"/>
      <c r="D12" s="11" t="s">
        <v>22</v>
      </c>
      <c r="E12" s="12"/>
    </row>
    <row r="13" ht="54" customHeight="1" spans="1:5" x14ac:dyDescent="0.25">
      <c r="A13" s="10">
        <f>IFERROR("分數:"&amp;ROUND(AVERAGE(D4:E9),0),"")</f>
      </c>
      <c r="B13" s="10"/>
      <c r="C13" s="10">
        <f>IFERROR(_xlfn.IFS(
ROUND(AVERAGE(D4:E9),0)&gt;=90,"等級:優",
ROUND(AVERAGE(D4:E9),0)&gt;=80,"等級:甲",
ROUND(AVERAGE(D4:E9),0)&gt;=70,"等級:乙",
ROUND(AVERAGE(D4:E9),0)&gt;=60,"等級:丙",
ROUND(AVERAGE(D4:E9),0)&gt;=50,"等級:丁",
ROUND(AVERAGE(D4:E9),0)&gt;=0, "等級:戊"),"")</f>
      </c>
      <c r="D13" s="10"/>
      <c r="E13" s="10"/>
    </row>
    <row r="14" ht="2.25" customHeight="1" spans="1:5" x14ac:dyDescent="0.25">
      <c r="A14" s="24"/>
      <c r="B14" s="24"/>
      <c r="C14" s="25"/>
      <c r="D14" s="24"/>
      <c r="E14" s="24"/>
    </row>
    <row r="15" spans="1:5" s="26" customFormat="1" x14ac:dyDescent="0.25">
      <c r="A15" s="27" t="s">
        <v>23</v>
      </c>
      <c r="B15" s="28"/>
      <c r="C15" s="28"/>
      <c r="D15" s="29"/>
      <c r="E15" s="30"/>
    </row>
    <row r="16" spans="1:5" s="26" customFormat="1" x14ac:dyDescent="0.25">
      <c r="A16" s="27" t="s">
        <v>24</v>
      </c>
      <c r="B16" s="28"/>
      <c r="C16" s="28"/>
      <c r="D16" s="30"/>
      <c r="E16" s="30"/>
    </row>
    <row r="17" spans="1:5" s="26" customFormat="1" x14ac:dyDescent="0.25">
      <c r="A17" s="27" t="s">
        <v>25</v>
      </c>
      <c r="B17" s="28"/>
      <c r="C17" s="28"/>
      <c r="D17" s="30"/>
      <c r="E17" s="30"/>
    </row>
    <row r="18" spans="1:5" s="26" customFormat="1" x14ac:dyDescent="0.25">
      <c r="A18" s="27" t="s">
        <v>26</v>
      </c>
      <c r="B18" s="28"/>
      <c r="C18" s="28"/>
      <c r="D18" s="30"/>
      <c r="E18" s="30"/>
    </row>
    <row r="19" spans="1:5" s="26" customFormat="1" x14ac:dyDescent="0.25">
      <c r="A19" s="27" t="s">
        <v>27</v>
      </c>
      <c r="B19" s="28"/>
      <c r="C19" s="28"/>
      <c r="D19" s="30"/>
      <c r="E19" s="30"/>
    </row>
    <row r="20" spans="1:5" s="26" customFormat="1" x14ac:dyDescent="0.25">
      <c r="A20" s="27" t="s">
        <v>28</v>
      </c>
      <c r="B20" s="28"/>
      <c r="C20" s="28"/>
      <c r="D20" s="30"/>
      <c r="E20" s="30"/>
    </row>
    <row r="21" spans="1:5" s="26" customFormat="1" x14ac:dyDescent="0.25">
      <c r="A21" s="27" t="s">
        <v>29</v>
      </c>
      <c r="B21" s="28"/>
      <c r="C21" s="28"/>
      <c r="D21" s="30"/>
      <c r="E21" s="30"/>
    </row>
    <row r="22" spans="1:5" s="26" customFormat="1" x14ac:dyDescent="0.25">
      <c r="A22" s="27" t="s">
        <v>30</v>
      </c>
      <c r="B22" s="28"/>
      <c r="C22" s="28"/>
      <c r="D22" s="30"/>
      <c r="E22" s="30"/>
    </row>
    <row r="23" spans="1:5" s="26" customFormat="1" x14ac:dyDescent="0.25">
      <c r="A23" s="27"/>
      <c r="B23" s="28"/>
      <c r="C23" s="28"/>
      <c r="D23" s="30"/>
      <c r="E23" s="30"/>
    </row>
    <row r="24" spans="1:1" x14ac:dyDescent="0.25">
      <c r="A24" s="31"/>
    </row>
    <row r="25" spans="1:1" x14ac:dyDescent="0.25">
      <c r="A25" s="31"/>
    </row>
  </sheetData>
  <mergeCells count="22">
    <mergeCell ref="A1:E1"/>
    <mergeCell ref="B2:C2"/>
    <mergeCell ref="B3:C3"/>
    <mergeCell ref="D3:E3"/>
    <mergeCell ref="B4:C4"/>
    <mergeCell ref="D4:E4"/>
    <mergeCell ref="B5:C5"/>
    <mergeCell ref="D5:E5"/>
    <mergeCell ref="B6:C6"/>
    <mergeCell ref="D6:E6"/>
    <mergeCell ref="B7:C7"/>
    <mergeCell ref="D7:E7"/>
    <mergeCell ref="B8:C8"/>
    <mergeCell ref="D8:E8"/>
    <mergeCell ref="B9:C9"/>
    <mergeCell ref="D9:E9"/>
    <mergeCell ref="A10:E10"/>
    <mergeCell ref="A11:E11"/>
    <mergeCell ref="A12:C12"/>
    <mergeCell ref="D12:E12"/>
    <mergeCell ref="A13:B13"/>
    <mergeCell ref="D13:E13"/>
  </mergeCells>
  <dataValidations count="2">
    <dataValidation type="whole" allowBlank="1" showInputMessage="1" prompt="請輸入0-100之間" showErrorMessage="1" error="請輸入0-100之間" sqref="D4:E4">
      <formula1>0</formula1>
      <formula2>100</formula2>
    </dataValidation>
    <dataValidation type="whole" allowBlank="1" showInputMessage="1" showErrorMessage="1" error="請輸入0-100之間" sqref="D5:E9">
      <formula1>0</formula1>
      <formula2>100</formula2>
    </dataValidation>
  </dataValidations>
  <pageMargins left="0.2362204724409449" right="0" top="0.7480314960629921" bottom="0.7480314960629921" header="0.31496062992125984" footer="0.31496062992125984"/>
  <pageSetup paperSize="9" orientation="portrait" horizontalDpi="4294967295" verticalDpi="4294967295" scale="91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胡英舜</vt:lpstr>
      <vt:lpstr>陳美玲</vt:lpstr>
      <vt:lpstr>黃順恩</vt:lpstr>
      <vt:lpstr>黃鈺婷</vt:lpstr>
      <vt:lpstr>楊舒雅</vt:lpstr>
      <vt:lpstr>洪嘉琦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Jason Chen</cp:lastModifiedBy>
  <cp:lastPrinted>2024-07-11T02:01:52Z</cp:lastPrinted>
  <dcterms:created xsi:type="dcterms:W3CDTF">2015-06-05T18:19:34Z</dcterms:created>
  <dcterms:modified xsi:type="dcterms:W3CDTF">2025-06-22T11:30:15Z</dcterms:modified>
</cp:coreProperties>
</file>