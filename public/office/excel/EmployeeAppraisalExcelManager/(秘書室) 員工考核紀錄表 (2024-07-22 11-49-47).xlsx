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8"/>
  </bookViews>
  <sheets>
    <sheet name="郭雅男" sheetId="1" state="visible" r:id="rId1"/>
    <sheet name="鄭穎玲" sheetId="2" state="visible" r:id="rId2"/>
    <sheet name="黃明田" sheetId="3" state="visible" r:id="rId3"/>
    <sheet name="洪榆涵" sheetId="4" state="visible" r:id="rId4"/>
    <sheet name="李永同" sheetId="5" state="visible" r:id="rId5"/>
    <sheet name="洪玉映" sheetId="6" state="visible" r:id="rId6"/>
    <sheet name="粘秋蘭" sheetId="7" state="visible" r:id="rId7"/>
    <sheet name="陳希如" sheetId="8" state="visible" r:id="rId8"/>
    <sheet name="鄭賜恩" sheetId="9" state="visible" r:id="rId9"/>
    <sheet name="洪明洲" sheetId="10" state="visible" r:id="rId10"/>
  </sheets>
  <calcPr/>
</workbook>
</file>

<file path=xl/sharedStrings.xml><?xml version="1.0" encoding="utf-8"?>
<sst xmlns="http://schemas.openxmlformats.org/spreadsheetml/2006/main" count="53" uniqueCount="53">
  <si>
    <t>彰化區漁會平時考核成績紀錄表</t>
  </si>
  <si>
    <t>姓名</t>
  </si>
  <si>
    <t>郭雅男</t>
  </si>
  <si>
    <t>服務部門</t>
  </si>
  <si>
    <t>信用部</t>
  </si>
  <si>
    <t xml:space="preserve">考 核 項 目</t>
  </si>
  <si>
    <t>考核內容</t>
  </si>
  <si>
    <t xml:space="preserve">分數( 0-100 )</t>
  </si>
  <si>
    <t xml:space="preserve">工作知能及
公文績效</t>
  </si>
  <si>
    <t xml:space="preserve">嫻熟工作相關專業知識，且具有業務需要之基本電腦作業
能力，並能充分運用。公文處理均能掌握品質及時效，臨
時交辦案件亦能依限完成。</t>
  </si>
  <si>
    <t xml:space="preserve">創新研究及
簡化流程</t>
  </si>
  <si>
    <t xml:space="preserve">對於承辦業務能提出具體改進措施，或運用革新技術、方
法及管理知識，簡化工作流程，提升效能效率，增進工作
績效。</t>
  </si>
  <si>
    <t>服務態度</t>
  </si>
  <si>
    <t xml:space="preserve">負責盡職，自動自發，積極辦理業務，落實顧客導向，提
升服務品質。發揮團隊精神，對於工作與職務調整，及與
他人協調合作，能優先考量組織目標之達成。</t>
  </si>
  <si>
    <t>品德操守</t>
  </si>
  <si>
    <t xml:space="preserve">敦厚謙和，謹慎懇摯，廉潔自持，無驕恣貪惰，奢侈放蕩
，冶遊賭博，吸食毒品，足以損失名譽之行為。</t>
  </si>
  <si>
    <t xml:space="preserve">領導協調
能       力</t>
  </si>
  <si>
    <r>
      <rPr>
        <sz val="11"/>
        <rFont val="微軟正黑體"/>
      </rPr>
      <t xml:space="preserve">具判斷決策溝通協調能力，並能傳授知識、經驗、技能，
適當指導同仁，且經常檢討工作計畫執行情形，達成預定
績效目標。</t>
    </r>
    <r>
      <rPr>
        <sz val="11"/>
        <color indexed="2"/>
        <rFont val="微軟正黑體"/>
      </rPr>
      <t xml:space="preserve">(主管職務始填) </t>
    </r>
    <r>
      <rPr>
        <sz val="11"/>
        <rFont val="全字庫正宋體"/>
      </rPr>
      <t xml:space="preserve">  </t>
    </r>
  </si>
  <si>
    <t xml:space="preserve">年度工作
計       畫</t>
  </si>
  <si>
    <t xml:space="preserve">工作計畫按預定進度如期完成或較預定進度超前，充分達
成計畫目標，績效卓著。</t>
  </si>
  <si>
    <t xml:space="preserve"> 個人重大具體優劣事蹟(受考人如有工作、操行、學識、才能等重大具體優劣事蹟，足資紀錄者，應填於本欄 ，
 以作為考評之重要參據。)</t>
  </si>
  <si>
    <t xml:space="preserve">格局欠寬 內部管理欠佳</t>
  </si>
  <si>
    <t xml:space="preserve">單位主管評定等級及分數 (請簽章)</t>
  </si>
  <si>
    <t xml:space="preserve">總幹事綜合考評 (請簽章)</t>
  </si>
  <si>
    <r>
      <rPr/>
      <t xml:space="preserve">附註 :  一</t>
    </r>
    <r>
      <rPr>
        <sz val="6"/>
        <color theme="1"/>
        <rFont val="微軟正黑體"/>
      </rPr>
      <t xml:space="preserve">  </t>
    </r>
    <r>
      <rPr>
        <sz val="11"/>
        <color theme="1"/>
        <rFont val="微軟正黑體"/>
      </rPr>
      <t>、依據漁會人事管理辦法第54條規定訂定，但各漁會得視業務特性及需要自行訂定。</t>
    </r>
  </si>
  <si>
    <t xml:space="preserve">           二 、平時考核紀錄等級分為6級，平時考核紀錄等級分述如下:</t>
  </si>
  <si>
    <t xml:space="preserve">                    優:90-99(表現優異，足為同仁表率。)</t>
  </si>
  <si>
    <t xml:space="preserve">                    甲:80-89(表現明顯地超出該職責的要求水準。)</t>
  </si>
  <si>
    <t xml:space="preserve">                    乙:70-79(表現均能達到要求水準。)</t>
  </si>
  <si>
    <t xml:space="preserve">                    丙:60-69(表現未盡符合基本要求。)</t>
  </si>
  <si>
    <t xml:space="preserve">                    丁:50-59(表現多未達基本要求，經勸導仍未改進者。)</t>
  </si>
  <si>
    <t xml:space="preserve">                    戊:40-49(無故曠工。)</t>
  </si>
  <si>
    <t>鄭穎玲</t>
  </si>
  <si>
    <t>財務部</t>
  </si>
  <si>
    <t>良好</t>
  </si>
  <si>
    <t>黃明田</t>
  </si>
  <si>
    <t>資訊部</t>
  </si>
  <si>
    <t>洪榆涵</t>
  </si>
  <si>
    <t>大城分部</t>
  </si>
  <si>
    <t>李永同</t>
  </si>
  <si>
    <t>王功分部</t>
  </si>
  <si>
    <t>表現頗佳</t>
  </si>
  <si>
    <t>洪玉映</t>
  </si>
  <si>
    <t>芳苑分部</t>
  </si>
  <si>
    <t>粘秋蘭</t>
  </si>
  <si>
    <t>草港分部</t>
  </si>
  <si>
    <t>陳希如</t>
  </si>
  <si>
    <t>福興分部</t>
  </si>
  <si>
    <t>鄭賜恩</t>
  </si>
  <si>
    <t>伸港分部</t>
  </si>
  <si>
    <t>洪明洲</t>
  </si>
  <si>
    <t>埔心分部</t>
  </si>
  <si>
    <t>表現良好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</si>
</sst>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7">
    <font>
      <sz val="11.000000"/>
      <color theme="1"/>
      <name val="Calibri"/>
      <scheme val="minor"/>
    </font>
    <font>
      <b/>
      <sz val="11.000000"/>
      <color rgb="FF3F3F3F"/>
      <name val="Calibri"/>
      <scheme val="minor"/>
    </font>
    <font>
      <b/>
      <sz val="11.000000"/>
      <color theme="0"/>
      <name val="Calibri"/>
      <scheme val="minor"/>
    </font>
    <font>
      <sz val="11.000000"/>
      <color theme="1"/>
      <name val="微軟正黑體"/>
    </font>
    <font>
      <b/>
      <sz val="16.000000"/>
      <color theme="1"/>
      <name val="微軟正黑體"/>
    </font>
    <font>
      <sz val="16.000000"/>
      <color theme="1"/>
      <name val="微軟正黑體"/>
    </font>
    <font>
      <sz val="11.000000"/>
      <name val="全字庫正宋體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A5A5A5"/>
        <bgColor rgb="FFA5A5A5"/>
      </patternFill>
    </fill>
  </fills>
  <borders count="8">
    <border>
      <left style="none"/>
      <right style="none"/>
      <top style="none"/>
      <bottom style="none"/>
      <diagonal style="none"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 style="none"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</borders>
  <cellStyleXfs count="3">
    <xf fontId="0" fillId="0" borderId="0" numFmtId="0" applyNumberFormat="1" applyFont="1" applyFill="1" applyBorder="1"/>
    <xf fontId="1" fillId="2" borderId="1" numFmtId="0" applyNumberFormat="0" applyFont="1" applyFill="1" applyBorder="1"/>
    <xf fontId="2" fillId="3" borderId="2" numFmtId="0" applyNumberFormat="0" applyFont="1" applyFill="1" applyBorder="1"/>
  </cellStyleXfs>
  <cellXfs count="33">
    <xf fontId="0" fillId="0" borderId="0" numFmtId="0" xfId="0"/>
    <xf fontId="3" fillId="0" borderId="0" numFmtId="0" xfId="0" applyFont="1" applyAlignment="1">
      <alignment horizontal="center" vertical="center" wrapText="1"/>
    </xf>
    <xf fontId="3" fillId="0" borderId="0" numFmtId="0" xfId="0" applyFont="1" applyAlignment="1">
      <alignment horizontal="left" vertical="top"/>
    </xf>
    <xf fontId="3" fillId="0" borderId="0" numFmtId="0" xfId="0" applyFont="1"/>
    <xf fontId="0" fillId="0" borderId="3" numFmtId="0" xfId="0" applyBorder="1"/>
    <xf fontId="4" fillId="0" borderId="4" numFmtId="0" xfId="0" applyFont="1" applyBorder="1" applyAlignment="1">
      <alignment horizontal="center" vertical="center" wrapText="1"/>
    </xf>
    <xf fontId="5" fillId="0" borderId="4" numFmtId="0" xfId="0" applyFont="1" applyBorder="1" applyAlignment="1">
      <alignment horizontal="center" vertical="center" wrapText="1"/>
    </xf>
    <xf fontId="3" fillId="0" borderId="4" numFmtId="0" xfId="0" applyFont="1" applyBorder="1" applyAlignment="1">
      <alignment horizontal="center" vertical="center" wrapText="1"/>
    </xf>
    <xf fontId="3" fillId="0" borderId="5" numFmtId="0" xfId="0" applyFont="1" applyBorder="1" applyAlignment="1">
      <alignment horizontal="center" vertical="center" wrapText="1"/>
    </xf>
    <xf fontId="3" fillId="0" borderId="6" numFmtId="0" xfId="0" applyFont="1" applyBorder="1" applyAlignment="1">
      <alignment horizontal="center" vertical="center" wrapText="1"/>
    </xf>
    <xf fontId="3" fillId="0" borderId="4" numFmtId="0" xfId="0" applyFont="1" applyBorder="1" applyAlignment="1">
      <alignment horizontal="center" vertical="center"/>
    </xf>
    <xf fontId="3" fillId="0" borderId="5" numFmtId="0" xfId="0" applyFont="1" applyBorder="1" applyAlignment="1">
      <alignment horizontal="center" vertical="center"/>
    </xf>
    <xf fontId="3" fillId="0" borderId="6" numFmtId="0" xfId="0" applyFont="1" applyBorder="1" applyAlignment="1">
      <alignment horizontal="center" vertical="center"/>
    </xf>
    <xf fontId="3" fillId="0" borderId="5" numFmtId="0" xfId="0" applyFont="1" applyBorder="1" applyAlignment="1">
      <alignment vertical="center" wrapText="1"/>
    </xf>
    <xf fontId="3" fillId="0" borderId="6" numFmtId="0" xfId="0" applyFont="1" applyBorder="1" applyAlignment="1">
      <alignment vertical="center" wrapText="1"/>
    </xf>
    <xf fontId="6" fillId="0" borderId="5" numFmtId="0" xfId="0" applyFont="1" applyBorder="1" applyAlignment="1">
      <alignment vertical="center" wrapText="1"/>
    </xf>
    <xf fontId="3" fillId="0" borderId="5" numFmtId="0" xfId="0" applyFont="1" applyBorder="1" applyAlignment="1">
      <alignment horizontal="left" vertical="center" wrapText="1"/>
    </xf>
    <xf fontId="3" fillId="0" borderId="7" numFmtId="0" xfId="0" applyFont="1" applyBorder="1" applyAlignment="1">
      <alignment horizontal="left" vertical="center" wrapText="1"/>
    </xf>
    <xf fontId="3" fillId="0" borderId="7" numFmtId="0" xfId="0" applyFont="1" applyBorder="1" applyAlignment="1">
      <alignment horizontal="left" vertical="center"/>
    </xf>
    <xf fontId="3" fillId="0" borderId="6" numFmtId="0" xfId="0" applyFont="1" applyBorder="1" applyAlignment="1">
      <alignment horizontal="left" vertical="center"/>
    </xf>
    <xf fontId="3" fillId="0" borderId="5" numFmtId="49" xfId="0" applyNumberFormat="1" applyFont="1" applyBorder="1" applyAlignment="1">
      <alignment horizontal="left" vertical="top" wrapText="1"/>
    </xf>
    <xf fontId="3" fillId="0" borderId="7" numFmtId="49" xfId="0" applyNumberFormat="1" applyFont="1" applyBorder="1" applyAlignment="1">
      <alignment horizontal="left" vertical="top" wrapText="1"/>
    </xf>
    <xf fontId="3" fillId="0" borderId="6" numFmtId="49" xfId="0" applyNumberFormat="1" applyFont="1" applyBorder="1" applyAlignment="1">
      <alignment horizontal="left" vertical="top" wrapText="1"/>
    </xf>
    <xf fontId="3" fillId="0" borderId="7" numFmtId="0" xfId="0" applyFont="1" applyBorder="1" applyAlignment="1">
      <alignment horizontal="center" vertical="center"/>
    </xf>
    <xf fontId="3" fillId="0" borderId="0" numFmtId="0" xfId="0" applyFont="1" applyAlignment="1">
      <alignment horizontal="center" vertical="center"/>
    </xf>
    <xf fontId="3" fillId="0" borderId="0" numFmtId="0" xfId="0" applyFont="1" applyAlignment="1">
      <alignment vertical="center"/>
    </xf>
    <xf fontId="0" fillId="0" borderId="0" numFmtId="0" xfId="0" applyAlignment="1">
      <alignment horizontal="left"/>
    </xf>
    <xf fontId="3" fillId="0" borderId="0" numFmtId="0" xfId="0" applyFont="1" applyAlignment="1">
      <alignment horizontal="left" vertical="center"/>
    </xf>
    <xf fontId="3" fillId="0" borderId="0" numFmtId="0" xfId="0" applyFont="1" applyAlignment="1">
      <alignment horizontal="left" vertical="center" wrapText="1"/>
    </xf>
    <xf fontId="3" fillId="0" borderId="0" numFmtId="0" xfId="0" applyFont="1" applyAlignment="1">
      <alignment horizontal="left" wrapText="1"/>
    </xf>
    <xf fontId="3" fillId="0" borderId="0" numFmtId="0" xfId="0" applyFont="1" applyAlignment="1">
      <alignment horizontal="left"/>
    </xf>
    <xf fontId="3" fillId="0" borderId="0" numFmtId="0" xfId="0" applyFont="1" applyAlignment="1">
      <alignment vertical="center" wrapText="1"/>
    </xf>
    <xf fontId="1" fillId="2" borderId="1" numFmtId="0" xfId="1" applyFont="1" applyFill="1" applyBorder="1" applyAlignment="1">
      <alignment horizontal="center" vertical="center"/>
    </xf>
  </cellXfs>
  <cellStyles count="3">
    <cellStyle name="Normal" xfId="0" builtinId="0"/>
    <cellStyle name="Output" xfId="1" builtinId="21"/>
    <cellStyle name="Check Cell" xfId="2" builtinId="2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worksheet" Target="worksheets/sheet10.xml"/><Relationship  Id="rId11" Type="http://schemas.openxmlformats.org/officeDocument/2006/relationships/theme" Target="theme/theme1.xml"/><Relationship  Id="rId12" Type="http://schemas.openxmlformats.org/officeDocument/2006/relationships/sharedStrings" Target="sharedStrings.xml"/><Relationship  Id="rId13" Type="http://schemas.openxmlformats.org/officeDocument/2006/relationships/styles" Target="styles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worksheet" Target="worksheets/sheet8.xml"/><Relationship  Id="rId9" Type="http://schemas.openxmlformats.org/officeDocument/2006/relationships/worksheet" Target="worksheets/sheet9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topLeftCell="A10"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2</v>
      </c>
      <c r="C2" s="9"/>
      <c r="D2" s="10" t="s">
        <v>3</v>
      </c>
      <c r="E2" s="10" t="s">
        <v>4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>
        <v>79</v>
      </c>
      <c r="E4" s="10"/>
    </row>
    <row r="5" ht="50.25" customHeight="1">
      <c r="A5" s="7" t="s">
        <v>10</v>
      </c>
      <c r="B5" s="13" t="s">
        <v>11</v>
      </c>
      <c r="C5" s="14"/>
      <c r="D5" s="10">
        <v>79</v>
      </c>
      <c r="E5" s="10"/>
    </row>
    <row r="6" ht="65.25" customHeight="1">
      <c r="A6" s="7" t="s">
        <v>12</v>
      </c>
      <c r="B6" s="13" t="s">
        <v>13</v>
      </c>
      <c r="C6" s="14"/>
      <c r="D6" s="10">
        <v>80</v>
      </c>
      <c r="E6" s="10"/>
    </row>
    <row r="7" ht="49.5" customHeight="1">
      <c r="A7" s="7" t="s">
        <v>14</v>
      </c>
      <c r="B7" s="13" t="s">
        <v>15</v>
      </c>
      <c r="C7" s="14"/>
      <c r="D7" s="10">
        <v>80</v>
      </c>
      <c r="E7" s="10"/>
    </row>
    <row r="8" ht="65.25" customHeight="1">
      <c r="A8" s="7" t="s">
        <v>16</v>
      </c>
      <c r="B8" s="15" t="s">
        <v>17</v>
      </c>
      <c r="C8" s="14"/>
      <c r="D8" s="10">
        <v>80</v>
      </c>
      <c r="E8" s="10"/>
    </row>
    <row r="9" ht="41.25" customHeight="1">
      <c r="A9" s="7" t="s">
        <v>18</v>
      </c>
      <c r="B9" s="13" t="s">
        <v>19</v>
      </c>
      <c r="C9" s="14"/>
      <c r="D9" s="10">
        <v>80</v>
      </c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 t="s">
        <v>21</v>
      </c>
      <c r="B11" s="21"/>
      <c r="C11" s="21"/>
      <c r="D11" s="21"/>
      <c r="E11" s="22"/>
    </row>
    <row r="12" ht="25.5" customHeight="1">
      <c r="A12" s="11" t="s">
        <v>22</v>
      </c>
      <c r="B12" s="23"/>
      <c r="C12" s="12"/>
      <c r="D12" s="11" t="s">
        <v>23</v>
      </c>
      <c r="E12" s="12"/>
    </row>
    <row r="13" ht="54" customHeight="1">
      <c r="A13" s="10" t="str">
        <f>IFERROR("分數:"&amp;ROUND(AVERAGE(D4:E9),0),"")</f>
        <v>分數:80</v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>等級:甲</v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24</v>
      </c>
      <c r="B15" s="28"/>
      <c r="C15" s="28"/>
      <c r="D15" s="29"/>
      <c r="E15" s="30"/>
    </row>
    <row r="16" s="26" customFormat="1" ht="15.75">
      <c r="A16" s="27" t="s">
        <v>25</v>
      </c>
      <c r="B16" s="28"/>
      <c r="C16" s="28"/>
      <c r="D16" s="30"/>
      <c r="E16" s="30"/>
    </row>
    <row r="17" s="26" customFormat="1" ht="15.75">
      <c r="A17" s="27" t="s">
        <v>26</v>
      </c>
      <c r="B17" s="28"/>
      <c r="C17" s="28"/>
      <c r="D17" s="30"/>
      <c r="E17" s="30"/>
    </row>
    <row r="18" s="26" customFormat="1" ht="15.75">
      <c r="A18" s="27" t="s">
        <v>27</v>
      </c>
      <c r="B18" s="28"/>
      <c r="C18" s="28"/>
      <c r="D18" s="30"/>
      <c r="E18" s="30"/>
    </row>
    <row r="19" s="26" customFormat="1" ht="15.75">
      <c r="A19" s="27" t="s">
        <v>28</v>
      </c>
      <c r="B19" s="28"/>
      <c r="C19" s="28"/>
      <c r="D19" s="30"/>
      <c r="E19" s="30"/>
    </row>
    <row r="20" s="26" customFormat="1" ht="15.75">
      <c r="A20" s="27" t="s">
        <v>29</v>
      </c>
      <c r="B20" s="28"/>
      <c r="C20" s="28"/>
      <c r="D20" s="30"/>
      <c r="E20" s="30"/>
    </row>
    <row r="21" s="26" customFormat="1" ht="15.75">
      <c r="A21" s="27" t="s">
        <v>30</v>
      </c>
      <c r="B21" s="28"/>
      <c r="C21" s="28"/>
      <c r="D21" s="30"/>
      <c r="E21" s="30"/>
    </row>
    <row r="22" s="26" customFormat="1" ht="15.75">
      <c r="A22" s="27" t="s">
        <v>31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89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A40000-006B-4F32-920E-00FB002B001F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91008B-00C9-41E1-80CB-00A80041000B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topLeftCell="A10"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32</v>
      </c>
      <c r="C2" s="9"/>
      <c r="D2" s="10" t="s">
        <v>3</v>
      </c>
      <c r="E2" s="10" t="s">
        <v>33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32">
        <v>85</v>
      </c>
      <c r="E4" s="32"/>
    </row>
    <row r="5" ht="50.25" customHeight="1">
      <c r="A5" s="7" t="s">
        <v>10</v>
      </c>
      <c r="B5" s="13" t="s">
        <v>11</v>
      </c>
      <c r="C5" s="14"/>
      <c r="D5" s="10">
        <v>90</v>
      </c>
      <c r="E5" s="10"/>
    </row>
    <row r="6" ht="65.25" customHeight="1">
      <c r="A6" s="7" t="s">
        <v>12</v>
      </c>
      <c r="B6" s="13" t="s">
        <v>13</v>
      </c>
      <c r="C6" s="14"/>
      <c r="D6" s="10">
        <v>90</v>
      </c>
      <c r="E6" s="10"/>
    </row>
    <row r="7" ht="49.5" customHeight="1">
      <c r="A7" s="7" t="s">
        <v>14</v>
      </c>
      <c r="B7" s="13" t="s">
        <v>15</v>
      </c>
      <c r="C7" s="14"/>
      <c r="D7" s="10">
        <v>90</v>
      </c>
      <c r="E7" s="10"/>
    </row>
    <row r="8" ht="65.25" customHeight="1">
      <c r="A8" s="7" t="s">
        <v>16</v>
      </c>
      <c r="B8" s="15" t="s">
        <v>17</v>
      </c>
      <c r="C8" s="14"/>
      <c r="D8" s="10">
        <v>86</v>
      </c>
      <c r="E8" s="10"/>
    </row>
    <row r="9" ht="41.25" customHeight="1">
      <c r="A9" s="7" t="s">
        <v>18</v>
      </c>
      <c r="B9" s="13" t="s">
        <v>19</v>
      </c>
      <c r="C9" s="14"/>
      <c r="D9" s="10">
        <v>87</v>
      </c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 t="s">
        <v>34</v>
      </c>
      <c r="B11" s="21"/>
      <c r="C11" s="21"/>
      <c r="D11" s="21"/>
      <c r="E11" s="22"/>
    </row>
    <row r="12" ht="25.5" customHeight="1">
      <c r="A12" s="11" t="s">
        <v>22</v>
      </c>
      <c r="B12" s="23"/>
      <c r="C12" s="12"/>
      <c r="D12" s="11" t="s">
        <v>23</v>
      </c>
      <c r="E12" s="12"/>
    </row>
    <row r="13" ht="54" customHeight="1">
      <c r="A13" s="10" t="str">
        <f>IFERROR("分數:"&amp;ROUND(AVERAGE(D4:E9),0),"")</f>
        <v>分數:88</v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>等級:甲</v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24</v>
      </c>
      <c r="B15" s="28"/>
      <c r="C15" s="28"/>
      <c r="D15" s="29"/>
      <c r="E15" s="30"/>
    </row>
    <row r="16" s="26" customFormat="1" ht="15.75">
      <c r="A16" s="27" t="s">
        <v>25</v>
      </c>
      <c r="B16" s="28"/>
      <c r="C16" s="28"/>
      <c r="D16" s="30"/>
      <c r="E16" s="30"/>
    </row>
    <row r="17" s="26" customFormat="1" ht="15.75">
      <c r="A17" s="27" t="s">
        <v>26</v>
      </c>
      <c r="B17" s="28"/>
      <c r="C17" s="28"/>
      <c r="D17" s="30"/>
      <c r="E17" s="30"/>
    </row>
    <row r="18" s="26" customFormat="1" ht="15.75">
      <c r="A18" s="27" t="s">
        <v>27</v>
      </c>
      <c r="B18" s="28"/>
      <c r="C18" s="28"/>
      <c r="D18" s="30"/>
      <c r="E18" s="30"/>
    </row>
    <row r="19" s="26" customFormat="1" ht="15.75">
      <c r="A19" s="27" t="s">
        <v>28</v>
      </c>
      <c r="B19" s="28"/>
      <c r="C19" s="28"/>
      <c r="D19" s="30"/>
      <c r="E19" s="30"/>
    </row>
    <row r="20" s="26" customFormat="1" ht="15.75">
      <c r="A20" s="27" t="s">
        <v>29</v>
      </c>
      <c r="B20" s="28"/>
      <c r="C20" s="28"/>
      <c r="D20" s="30"/>
      <c r="E20" s="30"/>
    </row>
    <row r="21" s="26" customFormat="1" ht="15.75">
      <c r="A21" s="27" t="s">
        <v>30</v>
      </c>
      <c r="B21" s="28"/>
      <c r="C21" s="28"/>
      <c r="D21" s="30"/>
      <c r="E21" s="30"/>
    </row>
    <row r="22" s="26" customFormat="1" ht="15.75">
      <c r="A22" s="27" t="s">
        <v>31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89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FE0013-00CE-4106-BC4A-00E300B400AB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E600E6-0006-4FC6-AAAB-00170042006E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topLeftCell="A4"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35</v>
      </c>
      <c r="C2" s="9"/>
      <c r="D2" s="10" t="s">
        <v>3</v>
      </c>
      <c r="E2" s="10" t="s">
        <v>36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>
        <v>90</v>
      </c>
      <c r="E4" s="10"/>
    </row>
    <row r="5" ht="50.25" customHeight="1">
      <c r="A5" s="7" t="s">
        <v>10</v>
      </c>
      <c r="B5" s="13" t="s">
        <v>11</v>
      </c>
      <c r="C5" s="14"/>
      <c r="D5" s="10">
        <v>90</v>
      </c>
      <c r="E5" s="10"/>
    </row>
    <row r="6" ht="65.25" customHeight="1">
      <c r="A6" s="7" t="s">
        <v>12</v>
      </c>
      <c r="B6" s="13" t="s">
        <v>13</v>
      </c>
      <c r="C6" s="14"/>
      <c r="D6" s="10">
        <v>85</v>
      </c>
      <c r="E6" s="10"/>
    </row>
    <row r="7" ht="49.5" customHeight="1">
      <c r="A7" s="7" t="s">
        <v>14</v>
      </c>
      <c r="B7" s="13" t="s">
        <v>15</v>
      </c>
      <c r="C7" s="14"/>
      <c r="D7" s="10">
        <v>86</v>
      </c>
      <c r="E7" s="10"/>
    </row>
    <row r="8" ht="65.25" customHeight="1">
      <c r="A8" s="7" t="s">
        <v>16</v>
      </c>
      <c r="B8" s="15" t="s">
        <v>17</v>
      </c>
      <c r="C8" s="14"/>
      <c r="D8" s="10">
        <v>85</v>
      </c>
      <c r="E8" s="10"/>
    </row>
    <row r="9" ht="41.25" customHeight="1">
      <c r="A9" s="7" t="s">
        <v>18</v>
      </c>
      <c r="B9" s="13" t="s">
        <v>19</v>
      </c>
      <c r="C9" s="14"/>
      <c r="D9" s="10">
        <v>88</v>
      </c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 t="s">
        <v>34</v>
      </c>
      <c r="B11" s="21"/>
      <c r="C11" s="21"/>
      <c r="D11" s="21"/>
      <c r="E11" s="22"/>
    </row>
    <row r="12" ht="25.5" customHeight="1">
      <c r="A12" s="11" t="s">
        <v>22</v>
      </c>
      <c r="B12" s="23"/>
      <c r="C12" s="12"/>
      <c r="D12" s="11" t="s">
        <v>23</v>
      </c>
      <c r="E12" s="12"/>
    </row>
    <row r="13" ht="54" customHeight="1">
      <c r="A13" s="10" t="str">
        <f>IFERROR("分數:"&amp;ROUND(AVERAGE(D4:E9),0),"")</f>
        <v>分數:87</v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>等級:甲</v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24</v>
      </c>
      <c r="B15" s="28"/>
      <c r="C15" s="28"/>
      <c r="D15" s="29"/>
      <c r="E15" s="30"/>
    </row>
    <row r="16" s="26" customFormat="1" ht="15.75">
      <c r="A16" s="27" t="s">
        <v>25</v>
      </c>
      <c r="B16" s="28"/>
      <c r="C16" s="28"/>
      <c r="D16" s="30"/>
      <c r="E16" s="30"/>
    </row>
    <row r="17" s="26" customFormat="1" ht="15.75">
      <c r="A17" s="27" t="s">
        <v>26</v>
      </c>
      <c r="B17" s="28"/>
      <c r="C17" s="28"/>
      <c r="D17" s="30"/>
      <c r="E17" s="30"/>
    </row>
    <row r="18" s="26" customFormat="1" ht="15.75">
      <c r="A18" s="27" t="s">
        <v>27</v>
      </c>
      <c r="B18" s="28"/>
      <c r="C18" s="28"/>
      <c r="D18" s="30"/>
      <c r="E18" s="30"/>
    </row>
    <row r="19" s="26" customFormat="1" ht="15.75">
      <c r="A19" s="27" t="s">
        <v>28</v>
      </c>
      <c r="B19" s="28"/>
      <c r="C19" s="28"/>
      <c r="D19" s="30"/>
      <c r="E19" s="30"/>
    </row>
    <row r="20" s="26" customFormat="1" ht="15.75">
      <c r="A20" s="27" t="s">
        <v>29</v>
      </c>
      <c r="B20" s="28"/>
      <c r="C20" s="28"/>
      <c r="D20" s="30"/>
      <c r="E20" s="30"/>
    </row>
    <row r="21" s="26" customFormat="1" ht="15.75">
      <c r="A21" s="27" t="s">
        <v>30</v>
      </c>
      <c r="B21" s="28"/>
      <c r="C21" s="28"/>
      <c r="D21" s="30"/>
      <c r="E21" s="30"/>
    </row>
    <row r="22" s="26" customFormat="1" ht="15.75">
      <c r="A22" s="27" t="s">
        <v>31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89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580008-0088-474D-9570-008800E20032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25003C-003D-4779-BA15-00B200B000CA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topLeftCell="A7"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37</v>
      </c>
      <c r="C2" s="9"/>
      <c r="D2" s="10" t="s">
        <v>3</v>
      </c>
      <c r="E2" s="10" t="s">
        <v>38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>
        <v>89</v>
      </c>
      <c r="E4" s="10"/>
    </row>
    <row r="5" ht="50.25" customHeight="1">
      <c r="A5" s="7" t="s">
        <v>10</v>
      </c>
      <c r="B5" s="13" t="s">
        <v>11</v>
      </c>
      <c r="C5" s="14"/>
      <c r="D5" s="10">
        <v>88</v>
      </c>
      <c r="E5" s="10"/>
    </row>
    <row r="6" ht="65.25" customHeight="1">
      <c r="A6" s="7" t="s">
        <v>12</v>
      </c>
      <c r="B6" s="13" t="s">
        <v>13</v>
      </c>
      <c r="C6" s="14"/>
      <c r="D6" s="10">
        <v>90</v>
      </c>
      <c r="E6" s="10"/>
    </row>
    <row r="7" ht="49.5" customHeight="1">
      <c r="A7" s="7" t="s">
        <v>14</v>
      </c>
      <c r="B7" s="13" t="s">
        <v>15</v>
      </c>
      <c r="C7" s="14"/>
      <c r="D7" s="10">
        <v>88</v>
      </c>
      <c r="E7" s="10"/>
    </row>
    <row r="8" ht="65.25" customHeight="1">
      <c r="A8" s="7" t="s">
        <v>16</v>
      </c>
      <c r="B8" s="15" t="s">
        <v>17</v>
      </c>
      <c r="C8" s="14"/>
      <c r="D8" s="10">
        <v>82</v>
      </c>
      <c r="E8" s="10"/>
    </row>
    <row r="9" ht="41.25" customHeight="1">
      <c r="A9" s="7" t="s">
        <v>18</v>
      </c>
      <c r="B9" s="13" t="s">
        <v>19</v>
      </c>
      <c r="C9" s="14"/>
      <c r="D9" s="10">
        <v>83</v>
      </c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 t="s">
        <v>34</v>
      </c>
      <c r="B11" s="21"/>
      <c r="C11" s="21"/>
      <c r="D11" s="21"/>
      <c r="E11" s="22"/>
    </row>
    <row r="12" ht="25.5" customHeight="1">
      <c r="A12" s="11" t="s">
        <v>22</v>
      </c>
      <c r="B12" s="23"/>
      <c r="C12" s="12"/>
      <c r="D12" s="11" t="s">
        <v>23</v>
      </c>
      <c r="E12" s="12"/>
    </row>
    <row r="13" ht="54" customHeight="1">
      <c r="A13" s="10" t="str">
        <f>IFERROR("分數:"&amp;ROUND(AVERAGE(D4:E9),0),"")</f>
        <v>分數:87</v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>等級:甲</v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24</v>
      </c>
      <c r="B15" s="28"/>
      <c r="C15" s="28"/>
      <c r="D15" s="29"/>
      <c r="E15" s="30"/>
    </row>
    <row r="16" s="26" customFormat="1" ht="15.75">
      <c r="A16" s="27" t="s">
        <v>25</v>
      </c>
      <c r="B16" s="28"/>
      <c r="C16" s="28"/>
      <c r="D16" s="30"/>
      <c r="E16" s="30"/>
    </row>
    <row r="17" s="26" customFormat="1" ht="15.75">
      <c r="A17" s="27" t="s">
        <v>26</v>
      </c>
      <c r="B17" s="28"/>
      <c r="C17" s="28"/>
      <c r="D17" s="30"/>
      <c r="E17" s="30"/>
    </row>
    <row r="18" s="26" customFormat="1" ht="15.75">
      <c r="A18" s="27" t="s">
        <v>27</v>
      </c>
      <c r="B18" s="28"/>
      <c r="C18" s="28"/>
      <c r="D18" s="30"/>
      <c r="E18" s="30"/>
    </row>
    <row r="19" s="26" customFormat="1" ht="15.75">
      <c r="A19" s="27" t="s">
        <v>28</v>
      </c>
      <c r="B19" s="28"/>
      <c r="C19" s="28"/>
      <c r="D19" s="30"/>
      <c r="E19" s="30"/>
    </row>
    <row r="20" s="26" customFormat="1" ht="15.75">
      <c r="A20" s="27" t="s">
        <v>29</v>
      </c>
      <c r="B20" s="28"/>
      <c r="C20" s="28"/>
      <c r="D20" s="30"/>
      <c r="E20" s="30"/>
    </row>
    <row r="21" s="26" customFormat="1" ht="15.75">
      <c r="A21" s="27" t="s">
        <v>30</v>
      </c>
      <c r="B21" s="28"/>
      <c r="C21" s="28"/>
      <c r="D21" s="30"/>
      <c r="E21" s="30"/>
    </row>
    <row r="22" s="26" customFormat="1" ht="15.75">
      <c r="A22" s="27" t="s">
        <v>31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89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5C00F6-00D3-4DED-AA0F-00C0001F00F1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4600C2-006D-4814-AB7B-0087000E0015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topLeftCell="A10"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39</v>
      </c>
      <c r="C2" s="9"/>
      <c r="D2" s="10" t="s">
        <v>3</v>
      </c>
      <c r="E2" s="10" t="s">
        <v>40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>
        <v>90</v>
      </c>
      <c r="E4" s="10"/>
    </row>
    <row r="5" ht="50.25" customHeight="1">
      <c r="A5" s="7" t="s">
        <v>10</v>
      </c>
      <c r="B5" s="13" t="s">
        <v>11</v>
      </c>
      <c r="C5" s="14"/>
      <c r="D5" s="10">
        <v>90</v>
      </c>
      <c r="E5" s="10"/>
    </row>
    <row r="6" ht="65.25" customHeight="1">
      <c r="A6" s="7" t="s">
        <v>12</v>
      </c>
      <c r="B6" s="13" t="s">
        <v>13</v>
      </c>
      <c r="C6" s="14"/>
      <c r="D6" s="10">
        <v>92</v>
      </c>
      <c r="E6" s="10"/>
    </row>
    <row r="7" ht="49.5" customHeight="1">
      <c r="A7" s="7" t="s">
        <v>14</v>
      </c>
      <c r="B7" s="13" t="s">
        <v>15</v>
      </c>
      <c r="C7" s="14"/>
      <c r="D7" s="10">
        <v>90</v>
      </c>
      <c r="E7" s="10"/>
    </row>
    <row r="8" ht="65.25" customHeight="1">
      <c r="A8" s="7" t="s">
        <v>16</v>
      </c>
      <c r="B8" s="15" t="s">
        <v>17</v>
      </c>
      <c r="C8" s="14"/>
      <c r="D8" s="10">
        <v>90</v>
      </c>
      <c r="E8" s="10"/>
    </row>
    <row r="9" ht="41.25" customHeight="1">
      <c r="A9" s="7" t="s">
        <v>18</v>
      </c>
      <c r="B9" s="13" t="s">
        <v>19</v>
      </c>
      <c r="C9" s="14"/>
      <c r="D9" s="10">
        <v>90</v>
      </c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 t="s">
        <v>41</v>
      </c>
      <c r="B11" s="21"/>
      <c r="C11" s="21"/>
      <c r="D11" s="21"/>
      <c r="E11" s="22"/>
    </row>
    <row r="12" ht="25.5" customHeight="1">
      <c r="A12" s="11" t="s">
        <v>22</v>
      </c>
      <c r="B12" s="23"/>
      <c r="C12" s="12"/>
      <c r="D12" s="11" t="s">
        <v>23</v>
      </c>
      <c r="E12" s="12"/>
    </row>
    <row r="13" ht="54" customHeight="1">
      <c r="A13" s="10" t="str">
        <f>IFERROR("分數:"&amp;ROUND(AVERAGE(D4:E9),0),"")</f>
        <v>分數:90</v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>等級:優</v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24</v>
      </c>
      <c r="B15" s="28"/>
      <c r="C15" s="28"/>
      <c r="D15" s="29"/>
      <c r="E15" s="30"/>
    </row>
    <row r="16" s="26" customFormat="1" ht="15.75">
      <c r="A16" s="27" t="s">
        <v>25</v>
      </c>
      <c r="B16" s="28"/>
      <c r="C16" s="28"/>
      <c r="D16" s="30"/>
      <c r="E16" s="30"/>
    </row>
    <row r="17" s="26" customFormat="1" ht="15.75">
      <c r="A17" s="27" t="s">
        <v>26</v>
      </c>
      <c r="B17" s="28"/>
      <c r="C17" s="28"/>
      <c r="D17" s="30"/>
      <c r="E17" s="30"/>
    </row>
    <row r="18" s="26" customFormat="1" ht="15.75">
      <c r="A18" s="27" t="s">
        <v>27</v>
      </c>
      <c r="B18" s="28"/>
      <c r="C18" s="28"/>
      <c r="D18" s="30"/>
      <c r="E18" s="30"/>
    </row>
    <row r="19" s="26" customFormat="1" ht="15.75">
      <c r="A19" s="27" t="s">
        <v>28</v>
      </c>
      <c r="B19" s="28"/>
      <c r="C19" s="28"/>
      <c r="D19" s="30"/>
      <c r="E19" s="30"/>
    </row>
    <row r="20" s="26" customFormat="1" ht="15.75">
      <c r="A20" s="27" t="s">
        <v>29</v>
      </c>
      <c r="B20" s="28"/>
      <c r="C20" s="28"/>
      <c r="D20" s="30"/>
      <c r="E20" s="30"/>
    </row>
    <row r="21" s="26" customFormat="1" ht="15.75">
      <c r="A21" s="27" t="s">
        <v>30</v>
      </c>
      <c r="B21" s="28"/>
      <c r="C21" s="28"/>
      <c r="D21" s="30"/>
      <c r="E21" s="30"/>
    </row>
    <row r="22" s="26" customFormat="1" ht="15.75">
      <c r="A22" s="27" t="s">
        <v>31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89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9C00F5-00B3-41D2-BBDE-00AB004A004F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D60002-0083-49E5-9839-004700A70064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topLeftCell="A7"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42</v>
      </c>
      <c r="C2" s="9"/>
      <c r="D2" s="10" t="s">
        <v>3</v>
      </c>
      <c r="E2" s="10" t="s">
        <v>43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>
        <v>88</v>
      </c>
      <c r="E4" s="10"/>
    </row>
    <row r="5" ht="50.25" customHeight="1">
      <c r="A5" s="7" t="s">
        <v>10</v>
      </c>
      <c r="B5" s="13" t="s">
        <v>11</v>
      </c>
      <c r="C5" s="14"/>
      <c r="D5" s="10">
        <v>87</v>
      </c>
      <c r="E5" s="10"/>
    </row>
    <row r="6" ht="65.25" customHeight="1">
      <c r="A6" s="7" t="s">
        <v>12</v>
      </c>
      <c r="B6" s="13" t="s">
        <v>13</v>
      </c>
      <c r="C6" s="14"/>
      <c r="D6" s="10">
        <v>89</v>
      </c>
      <c r="E6" s="10"/>
    </row>
    <row r="7" ht="49.5" customHeight="1">
      <c r="A7" s="7" t="s">
        <v>14</v>
      </c>
      <c r="B7" s="13" t="s">
        <v>15</v>
      </c>
      <c r="C7" s="14"/>
      <c r="D7" s="10">
        <v>87</v>
      </c>
      <c r="E7" s="10"/>
    </row>
    <row r="8" ht="65.25" customHeight="1">
      <c r="A8" s="7" t="s">
        <v>16</v>
      </c>
      <c r="B8" s="15" t="s">
        <v>17</v>
      </c>
      <c r="C8" s="14"/>
      <c r="D8" s="10">
        <v>85</v>
      </c>
      <c r="E8" s="10"/>
    </row>
    <row r="9" ht="41.25" customHeight="1">
      <c r="A9" s="7" t="s">
        <v>18</v>
      </c>
      <c r="B9" s="13" t="s">
        <v>19</v>
      </c>
      <c r="C9" s="14"/>
      <c r="D9" s="10">
        <v>84</v>
      </c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 t="s">
        <v>34</v>
      </c>
      <c r="B11" s="21"/>
      <c r="C11" s="21"/>
      <c r="D11" s="21"/>
      <c r="E11" s="22"/>
    </row>
    <row r="12" ht="25.5" customHeight="1">
      <c r="A12" s="11" t="s">
        <v>22</v>
      </c>
      <c r="B12" s="23"/>
      <c r="C12" s="12"/>
      <c r="D12" s="11" t="s">
        <v>23</v>
      </c>
      <c r="E12" s="12"/>
    </row>
    <row r="13" ht="54" customHeight="1">
      <c r="A13" s="10" t="str">
        <f>IFERROR("分數:"&amp;ROUND(AVERAGE(D4:E9),0),"")</f>
        <v>分數:87</v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>等級:甲</v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24</v>
      </c>
      <c r="B15" s="28"/>
      <c r="C15" s="28"/>
      <c r="D15" s="29"/>
      <c r="E15" s="30"/>
    </row>
    <row r="16" s="26" customFormat="1" ht="15.75">
      <c r="A16" s="27" t="s">
        <v>25</v>
      </c>
      <c r="B16" s="28"/>
      <c r="C16" s="28"/>
      <c r="D16" s="30"/>
      <c r="E16" s="30"/>
    </row>
    <row r="17" s="26" customFormat="1" ht="15.75">
      <c r="A17" s="27" t="s">
        <v>26</v>
      </c>
      <c r="B17" s="28"/>
      <c r="C17" s="28"/>
      <c r="D17" s="30"/>
      <c r="E17" s="30"/>
    </row>
    <row r="18" s="26" customFormat="1" ht="15.75">
      <c r="A18" s="27" t="s">
        <v>27</v>
      </c>
      <c r="B18" s="28"/>
      <c r="C18" s="28"/>
      <c r="D18" s="30"/>
      <c r="E18" s="30"/>
    </row>
    <row r="19" s="26" customFormat="1" ht="15.75">
      <c r="A19" s="27" t="s">
        <v>28</v>
      </c>
      <c r="B19" s="28"/>
      <c r="C19" s="28"/>
      <c r="D19" s="30"/>
      <c r="E19" s="30"/>
    </row>
    <row r="20" s="26" customFormat="1" ht="15.75">
      <c r="A20" s="27" t="s">
        <v>29</v>
      </c>
      <c r="B20" s="28"/>
      <c r="C20" s="28"/>
      <c r="D20" s="30"/>
      <c r="E20" s="30"/>
    </row>
    <row r="21" s="26" customFormat="1" ht="15.75">
      <c r="A21" s="27" t="s">
        <v>30</v>
      </c>
      <c r="B21" s="28"/>
      <c r="C21" s="28"/>
      <c r="D21" s="30"/>
      <c r="E21" s="30"/>
    </row>
    <row r="22" s="26" customFormat="1" ht="15.75">
      <c r="A22" s="27" t="s">
        <v>31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89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AB00EC-00C5-4D96-BFF8-00CE00C200A3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30002E-0049-41E1-B50A-0087007300D3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topLeftCell="A7"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44</v>
      </c>
      <c r="C2" s="9"/>
      <c r="D2" s="10" t="s">
        <v>3</v>
      </c>
      <c r="E2" s="10" t="s">
        <v>45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>
        <v>87</v>
      </c>
      <c r="E4" s="10"/>
    </row>
    <row r="5" ht="50.25" customHeight="1">
      <c r="A5" s="7" t="s">
        <v>10</v>
      </c>
      <c r="B5" s="13" t="s">
        <v>11</v>
      </c>
      <c r="C5" s="14"/>
      <c r="D5" s="10">
        <v>85</v>
      </c>
      <c r="E5" s="10"/>
    </row>
    <row r="6" ht="65.25" customHeight="1">
      <c r="A6" s="7" t="s">
        <v>12</v>
      </c>
      <c r="B6" s="13" t="s">
        <v>13</v>
      </c>
      <c r="C6" s="14"/>
      <c r="D6" s="10">
        <v>85</v>
      </c>
      <c r="E6" s="10"/>
    </row>
    <row r="7" ht="49.5" customHeight="1">
      <c r="A7" s="7" t="s">
        <v>14</v>
      </c>
      <c r="B7" s="13" t="s">
        <v>15</v>
      </c>
      <c r="C7" s="14"/>
      <c r="D7" s="10">
        <v>85</v>
      </c>
      <c r="E7" s="10"/>
    </row>
    <row r="8" ht="65.25" customHeight="1">
      <c r="A8" s="7" t="s">
        <v>16</v>
      </c>
      <c r="B8" s="15" t="s">
        <v>17</v>
      </c>
      <c r="C8" s="14"/>
      <c r="D8" s="10">
        <v>82</v>
      </c>
      <c r="E8" s="10"/>
    </row>
    <row r="9" ht="41.25" customHeight="1">
      <c r="A9" s="7" t="s">
        <v>18</v>
      </c>
      <c r="B9" s="13" t="s">
        <v>19</v>
      </c>
      <c r="C9" s="14"/>
      <c r="D9" s="10">
        <v>83</v>
      </c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 t="s">
        <v>34</v>
      </c>
      <c r="B11" s="21"/>
      <c r="C11" s="21"/>
      <c r="D11" s="21"/>
      <c r="E11" s="22"/>
    </row>
    <row r="12" ht="25.5" customHeight="1">
      <c r="A12" s="11" t="s">
        <v>22</v>
      </c>
      <c r="B12" s="23"/>
      <c r="C12" s="12"/>
      <c r="D12" s="11" t="s">
        <v>23</v>
      </c>
      <c r="E12" s="12"/>
    </row>
    <row r="13" ht="54" customHeight="1">
      <c r="A13" s="10" t="str">
        <f>IFERROR("分數:"&amp;ROUND(AVERAGE(D4:E9),0),"")</f>
        <v>分數:85</v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>等級:甲</v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24</v>
      </c>
      <c r="B15" s="28"/>
      <c r="C15" s="28"/>
      <c r="D15" s="29"/>
      <c r="E15" s="30"/>
    </row>
    <row r="16" s="26" customFormat="1" ht="15.75">
      <c r="A16" s="27" t="s">
        <v>25</v>
      </c>
      <c r="B16" s="28"/>
      <c r="C16" s="28"/>
      <c r="D16" s="30"/>
      <c r="E16" s="30"/>
    </row>
    <row r="17" s="26" customFormat="1" ht="15.75">
      <c r="A17" s="27" t="s">
        <v>26</v>
      </c>
      <c r="B17" s="28"/>
      <c r="C17" s="28"/>
      <c r="D17" s="30"/>
      <c r="E17" s="30"/>
    </row>
    <row r="18" s="26" customFormat="1" ht="15.75">
      <c r="A18" s="27" t="s">
        <v>27</v>
      </c>
      <c r="B18" s="28"/>
      <c r="C18" s="28"/>
      <c r="D18" s="30"/>
      <c r="E18" s="30"/>
    </row>
    <row r="19" s="26" customFormat="1" ht="15.75">
      <c r="A19" s="27" t="s">
        <v>28</v>
      </c>
      <c r="B19" s="28"/>
      <c r="C19" s="28"/>
      <c r="D19" s="30"/>
      <c r="E19" s="30"/>
    </row>
    <row r="20" s="26" customFormat="1" ht="15.75">
      <c r="A20" s="27" t="s">
        <v>29</v>
      </c>
      <c r="B20" s="28"/>
      <c r="C20" s="28"/>
      <c r="D20" s="30"/>
      <c r="E20" s="30"/>
    </row>
    <row r="21" s="26" customFormat="1" ht="15.75">
      <c r="A21" s="27" t="s">
        <v>30</v>
      </c>
      <c r="B21" s="28"/>
      <c r="C21" s="28"/>
      <c r="D21" s="30"/>
      <c r="E21" s="30"/>
    </row>
    <row r="22" s="26" customFormat="1" ht="15.75">
      <c r="A22" s="27" t="s">
        <v>31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89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F00002-00C3-4C8C-9D1C-00CD00D90093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700026-00D0-4BCD-A0D1-00CE004A006A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46</v>
      </c>
      <c r="C2" s="9"/>
      <c r="D2" s="10" t="s">
        <v>3</v>
      </c>
      <c r="E2" s="10" t="s">
        <v>47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>
        <v>84</v>
      </c>
      <c r="E4" s="10"/>
    </row>
    <row r="5" ht="50.25" customHeight="1">
      <c r="A5" s="7" t="s">
        <v>10</v>
      </c>
      <c r="B5" s="13" t="s">
        <v>11</v>
      </c>
      <c r="C5" s="14"/>
      <c r="D5" s="10">
        <v>85</v>
      </c>
      <c r="E5" s="10"/>
    </row>
    <row r="6" ht="65.25" customHeight="1">
      <c r="A6" s="7" t="s">
        <v>12</v>
      </c>
      <c r="B6" s="13" t="s">
        <v>13</v>
      </c>
      <c r="C6" s="14"/>
      <c r="D6" s="10">
        <v>82</v>
      </c>
      <c r="E6" s="10"/>
    </row>
    <row r="7" ht="49.5" customHeight="1">
      <c r="A7" s="7" t="s">
        <v>14</v>
      </c>
      <c r="B7" s="13" t="s">
        <v>15</v>
      </c>
      <c r="C7" s="14"/>
      <c r="D7" s="10">
        <v>84</v>
      </c>
      <c r="E7" s="10"/>
    </row>
    <row r="8" ht="65.25" customHeight="1">
      <c r="A8" s="7" t="s">
        <v>16</v>
      </c>
      <c r="B8" s="15" t="s">
        <v>17</v>
      </c>
      <c r="C8" s="14"/>
      <c r="D8" s="10">
        <v>82</v>
      </c>
      <c r="E8" s="10"/>
    </row>
    <row r="9" ht="41.25" customHeight="1">
      <c r="A9" s="7" t="s">
        <v>18</v>
      </c>
      <c r="B9" s="13" t="s">
        <v>19</v>
      </c>
      <c r="C9" s="14"/>
      <c r="D9" s="10">
        <v>83</v>
      </c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 t="s">
        <v>34</v>
      </c>
      <c r="B11" s="21"/>
      <c r="C11" s="21"/>
      <c r="D11" s="21"/>
      <c r="E11" s="22"/>
    </row>
    <row r="12" ht="25.5" customHeight="1">
      <c r="A12" s="11" t="s">
        <v>22</v>
      </c>
      <c r="B12" s="23"/>
      <c r="C12" s="12"/>
      <c r="D12" s="11" t="s">
        <v>23</v>
      </c>
      <c r="E12" s="12"/>
    </row>
    <row r="13" ht="54" customHeight="1">
      <c r="A13" s="10" t="str">
        <f>IFERROR("分數:"&amp;ROUND(AVERAGE(D4:E9),0),"")</f>
        <v>分數:83</v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>等級:甲</v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24</v>
      </c>
      <c r="B15" s="28"/>
      <c r="C15" s="28"/>
      <c r="D15" s="29"/>
      <c r="E15" s="30"/>
    </row>
    <row r="16" s="26" customFormat="1" ht="15.75">
      <c r="A16" s="27" t="s">
        <v>25</v>
      </c>
      <c r="B16" s="28"/>
      <c r="C16" s="28"/>
      <c r="D16" s="30"/>
      <c r="E16" s="30"/>
    </row>
    <row r="17" s="26" customFormat="1" ht="15.75">
      <c r="A17" s="27" t="s">
        <v>26</v>
      </c>
      <c r="B17" s="28"/>
      <c r="C17" s="28"/>
      <c r="D17" s="30"/>
      <c r="E17" s="30"/>
    </row>
    <row r="18" s="26" customFormat="1" ht="15.75">
      <c r="A18" s="27" t="s">
        <v>27</v>
      </c>
      <c r="B18" s="28"/>
      <c r="C18" s="28"/>
      <c r="D18" s="30"/>
      <c r="E18" s="30"/>
    </row>
    <row r="19" s="26" customFormat="1" ht="15.75">
      <c r="A19" s="27" t="s">
        <v>28</v>
      </c>
      <c r="B19" s="28"/>
      <c r="C19" s="28"/>
      <c r="D19" s="30"/>
      <c r="E19" s="30"/>
    </row>
    <row r="20" s="26" customFormat="1" ht="15.75">
      <c r="A20" s="27" t="s">
        <v>29</v>
      </c>
      <c r="B20" s="28"/>
      <c r="C20" s="28"/>
      <c r="D20" s="30"/>
      <c r="E20" s="30"/>
    </row>
    <row r="21" s="26" customFormat="1" ht="15.75">
      <c r="A21" s="27" t="s">
        <v>30</v>
      </c>
      <c r="B21" s="28"/>
      <c r="C21" s="28"/>
      <c r="D21" s="30"/>
      <c r="E21" s="30"/>
    </row>
    <row r="22" s="26" customFormat="1" ht="15.75">
      <c r="A22" s="27" t="s">
        <v>31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89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8C00D4-00ED-44B9-B111-000100F40093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390072-00A2-42A5-A0CE-0074005C0061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topLeftCell="A7"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48</v>
      </c>
      <c r="C2" s="9"/>
      <c r="D2" s="10" t="s">
        <v>3</v>
      </c>
      <c r="E2" s="10" t="s">
        <v>49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>
        <v>88</v>
      </c>
      <c r="E4" s="10"/>
    </row>
    <row r="5" ht="50.25" customHeight="1">
      <c r="A5" s="7" t="s">
        <v>10</v>
      </c>
      <c r="B5" s="13" t="s">
        <v>11</v>
      </c>
      <c r="C5" s="14"/>
      <c r="D5" s="10">
        <v>87</v>
      </c>
      <c r="E5" s="10"/>
    </row>
    <row r="6" ht="65.25" customHeight="1">
      <c r="A6" s="7" t="s">
        <v>12</v>
      </c>
      <c r="B6" s="13" t="s">
        <v>13</v>
      </c>
      <c r="C6" s="14"/>
      <c r="D6" s="10">
        <v>88</v>
      </c>
      <c r="E6" s="10"/>
    </row>
    <row r="7" ht="49.5" customHeight="1">
      <c r="A7" s="7" t="s">
        <v>14</v>
      </c>
      <c r="B7" s="13" t="s">
        <v>15</v>
      </c>
      <c r="C7" s="14"/>
      <c r="D7" s="10">
        <v>88</v>
      </c>
      <c r="E7" s="10"/>
    </row>
    <row r="8" ht="65.25" customHeight="1">
      <c r="A8" s="7" t="s">
        <v>16</v>
      </c>
      <c r="B8" s="15" t="s">
        <v>17</v>
      </c>
      <c r="C8" s="14"/>
      <c r="D8" s="10">
        <v>81</v>
      </c>
      <c r="E8" s="10"/>
    </row>
    <row r="9" ht="41.25" customHeight="1">
      <c r="A9" s="7" t="s">
        <v>18</v>
      </c>
      <c r="B9" s="13" t="s">
        <v>19</v>
      </c>
      <c r="C9" s="14"/>
      <c r="D9" s="10">
        <v>82</v>
      </c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 t="s">
        <v>34</v>
      </c>
      <c r="B11" s="21"/>
      <c r="C11" s="21"/>
      <c r="D11" s="21"/>
      <c r="E11" s="22"/>
    </row>
    <row r="12" ht="25.5" customHeight="1">
      <c r="A12" s="11" t="s">
        <v>22</v>
      </c>
      <c r="B12" s="23"/>
      <c r="C12" s="12"/>
      <c r="D12" s="11" t="s">
        <v>23</v>
      </c>
      <c r="E12" s="12"/>
    </row>
    <row r="13" ht="54" customHeight="1">
      <c r="A13" s="10" t="str">
        <f>IFERROR("分數:"&amp;ROUND(AVERAGE(D4:E9),0),"")</f>
        <v>分數:86</v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>等級:甲</v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24</v>
      </c>
      <c r="B15" s="28"/>
      <c r="C15" s="28"/>
      <c r="D15" s="29"/>
      <c r="E15" s="30"/>
    </row>
    <row r="16" s="26" customFormat="1" ht="15.75">
      <c r="A16" s="27" t="s">
        <v>25</v>
      </c>
      <c r="B16" s="28"/>
      <c r="C16" s="28"/>
      <c r="D16" s="30"/>
      <c r="E16" s="30"/>
    </row>
    <row r="17" s="26" customFormat="1" ht="15.75">
      <c r="A17" s="27" t="s">
        <v>26</v>
      </c>
      <c r="B17" s="28"/>
      <c r="C17" s="28"/>
      <c r="D17" s="30"/>
      <c r="E17" s="30"/>
    </row>
    <row r="18" s="26" customFormat="1" ht="15.75">
      <c r="A18" s="27" t="s">
        <v>27</v>
      </c>
      <c r="B18" s="28"/>
      <c r="C18" s="28"/>
      <c r="D18" s="30"/>
      <c r="E18" s="30"/>
    </row>
    <row r="19" s="26" customFormat="1" ht="15.75">
      <c r="A19" s="27" t="s">
        <v>28</v>
      </c>
      <c r="B19" s="28"/>
      <c r="C19" s="28"/>
      <c r="D19" s="30"/>
      <c r="E19" s="30"/>
    </row>
    <row r="20" s="26" customFormat="1" ht="15.75">
      <c r="A20" s="27" t="s">
        <v>29</v>
      </c>
      <c r="B20" s="28"/>
      <c r="C20" s="28"/>
      <c r="D20" s="30"/>
      <c r="E20" s="30"/>
    </row>
    <row r="21" s="26" customFormat="1" ht="15.75">
      <c r="A21" s="27" t="s">
        <v>30</v>
      </c>
      <c r="B21" s="28"/>
      <c r="C21" s="28"/>
      <c r="D21" s="30"/>
      <c r="E21" s="30"/>
    </row>
    <row r="22" s="26" customFormat="1" ht="15.75">
      <c r="A22" s="27" t="s">
        <v>31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89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6D00F8-00A1-4C03-AE4A-009F0040007B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290029-00E3-4D96-AED1-00BD00C600EB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50</v>
      </c>
      <c r="C2" s="9"/>
      <c r="D2" s="10" t="s">
        <v>3</v>
      </c>
      <c r="E2" s="10" t="s">
        <v>51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>
        <v>89</v>
      </c>
      <c r="E4" s="10"/>
    </row>
    <row r="5" ht="50.25" customHeight="1">
      <c r="A5" s="7" t="s">
        <v>10</v>
      </c>
      <c r="B5" s="13" t="s">
        <v>11</v>
      </c>
      <c r="C5" s="14"/>
      <c r="D5" s="10">
        <v>85</v>
      </c>
      <c r="E5" s="10"/>
    </row>
    <row r="6" ht="65.25" customHeight="1">
      <c r="A6" s="7" t="s">
        <v>12</v>
      </c>
      <c r="B6" s="13" t="s">
        <v>13</v>
      </c>
      <c r="C6" s="14"/>
      <c r="D6" s="10">
        <v>90</v>
      </c>
      <c r="E6" s="10"/>
    </row>
    <row r="7" ht="49.5" customHeight="1">
      <c r="A7" s="7" t="s">
        <v>14</v>
      </c>
      <c r="B7" s="13" t="s">
        <v>15</v>
      </c>
      <c r="C7" s="14"/>
      <c r="D7" s="10">
        <v>90</v>
      </c>
      <c r="E7" s="10"/>
    </row>
    <row r="8" ht="65.25" customHeight="1">
      <c r="A8" s="7" t="s">
        <v>16</v>
      </c>
      <c r="B8" s="15" t="s">
        <v>17</v>
      </c>
      <c r="C8" s="14"/>
      <c r="D8" s="10">
        <v>89</v>
      </c>
      <c r="E8" s="10"/>
    </row>
    <row r="9" ht="41.25" customHeight="1">
      <c r="A9" s="7" t="s">
        <v>18</v>
      </c>
      <c r="B9" s="13" t="s">
        <v>19</v>
      </c>
      <c r="C9" s="14"/>
      <c r="D9" s="10">
        <v>87</v>
      </c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 t="s">
        <v>52</v>
      </c>
      <c r="B11" s="21"/>
      <c r="C11" s="21"/>
      <c r="D11" s="21"/>
      <c r="E11" s="22"/>
    </row>
    <row r="12" ht="25.5" customHeight="1">
      <c r="A12" s="11" t="s">
        <v>22</v>
      </c>
      <c r="B12" s="23"/>
      <c r="C12" s="12"/>
      <c r="D12" s="11" t="s">
        <v>23</v>
      </c>
      <c r="E12" s="12"/>
    </row>
    <row r="13" ht="54" customHeight="1">
      <c r="A13" s="10" t="str">
        <f>IFERROR("分數:"&amp;ROUND(AVERAGE(D4:E9),0),"")</f>
        <v>分數:88</v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>等級:甲</v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24</v>
      </c>
      <c r="B15" s="28"/>
      <c r="C15" s="28"/>
      <c r="D15" s="29"/>
      <c r="E15" s="30"/>
    </row>
    <row r="16" s="26" customFormat="1" ht="15.75">
      <c r="A16" s="27" t="s">
        <v>25</v>
      </c>
      <c r="B16" s="28"/>
      <c r="C16" s="28"/>
      <c r="D16" s="30"/>
      <c r="E16" s="30"/>
    </row>
    <row r="17" s="26" customFormat="1" ht="15.75">
      <c r="A17" s="27" t="s">
        <v>26</v>
      </c>
      <c r="B17" s="28"/>
      <c r="C17" s="28"/>
      <c r="D17" s="30"/>
      <c r="E17" s="30"/>
    </row>
    <row r="18" s="26" customFormat="1" ht="15.75">
      <c r="A18" s="27" t="s">
        <v>27</v>
      </c>
      <c r="B18" s="28"/>
      <c r="C18" s="28"/>
      <c r="D18" s="30"/>
      <c r="E18" s="30"/>
    </row>
    <row r="19" s="26" customFormat="1" ht="15.75">
      <c r="A19" s="27" t="s">
        <v>28</v>
      </c>
      <c r="B19" s="28"/>
      <c r="C19" s="28"/>
      <c r="D19" s="30"/>
      <c r="E19" s="30"/>
    </row>
    <row r="20" s="26" customFormat="1" ht="15.75">
      <c r="A20" s="27" t="s">
        <v>29</v>
      </c>
      <c r="B20" s="28"/>
      <c r="C20" s="28"/>
      <c r="D20" s="30"/>
      <c r="E20" s="30"/>
    </row>
    <row r="21" s="26" customFormat="1" ht="15.75">
      <c r="A21" s="27" t="s">
        <v>30</v>
      </c>
      <c r="B21" s="28"/>
      <c r="C21" s="28"/>
      <c r="D21" s="30"/>
      <c r="E21" s="30"/>
    </row>
    <row r="22" s="26" customFormat="1" ht="15.75">
      <c r="A22" s="27" t="s">
        <v>31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89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79001D-0027-4818-8F7A-0052002A00D7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AE0061-002D-4F33-B960-00BB00910083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林嘉賓</cp:lastModifiedBy>
  <cp:revision>2</cp:revision>
  <dcterms:created xsi:type="dcterms:W3CDTF">2015-06-05T18:19:34Z</dcterms:created>
  <dcterms:modified xsi:type="dcterms:W3CDTF">2024-07-22T04:07:58Z</dcterms:modified>
</cp:coreProperties>
</file>