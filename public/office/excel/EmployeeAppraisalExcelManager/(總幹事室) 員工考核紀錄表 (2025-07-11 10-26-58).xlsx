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C:\Users\User\Desktop\新增資料夾 (32)\"/>
    </mc:Choice>
  </mc:AlternateContent>
  <xr:revisionPtr revIDLastSave="0" documentId="13_ncr:1_{6F995902-F29E-4213-A9EA-847514F531A2}" xr6:coauthVersionLast="47" xr6:coauthVersionMax="47" xr10:uidLastSave="{00000000-0000-0000-0000-000000000000}"/>
  <bookViews>
    <workbookView xWindow="-108" yWindow="-108" windowWidth="23256" windowHeight="12576" activeTab="9" xr2:uid="{00000000-000D-0000-FFFF-FFFF00000000}"/>
  </bookViews>
  <sheets>
    <sheet name="郭雅男" sheetId="1" r:id="rId1"/>
    <sheet name="鄭穎玲" sheetId="2" r:id="rId2"/>
    <sheet name="黃明田" sheetId="3" r:id="rId3"/>
    <sheet name="洪榆涵" sheetId="4" r:id="rId4"/>
    <sheet name="陳希如" sheetId="5" r:id="rId5"/>
    <sheet name="洪玉映" sheetId="6" r:id="rId6"/>
    <sheet name="粘秋蘭" sheetId="7" r:id="rId7"/>
    <sheet name="李永同" sheetId="8" r:id="rId8"/>
    <sheet name="鄭賜恩" sheetId="9" r:id="rId9"/>
    <sheet name="洪明洲" sheetId="10" r:id="rId10"/>
    <sheet name="參數" sheetId="11" state="hidden" r:id="rId11"/>
  </sheets>
  <calcPr calcId="191029"/>
</workbook>
</file>

<file path=xl/calcChain.xml><?xml version="1.0" encoding="utf-8"?>
<calcChain xmlns="http://schemas.openxmlformats.org/spreadsheetml/2006/main">
  <c r="D14" i="10" l="1"/>
  <c r="E14" i="10" s="1" a="1"/>
  <c r="E14" i="10" s="1"/>
  <c r="D13" i="10"/>
  <c r="E13" i="10" s="1" a="1"/>
  <c r="E13" i="10" s="1"/>
  <c r="K10" i="10"/>
  <c r="J10" i="10"/>
  <c r="I10" i="10"/>
  <c r="H10" i="10"/>
  <c r="D14" i="9"/>
  <c r="E14" i="9" s="1" a="1"/>
  <c r="E14" i="9" s="1"/>
  <c r="D13" i="9"/>
  <c r="E13" i="9" s="1" a="1"/>
  <c r="E13" i="9" s="1"/>
  <c r="K10" i="9"/>
  <c r="J10" i="9"/>
  <c r="I10" i="9"/>
  <c r="H10" i="9"/>
  <c r="D14" i="8"/>
  <c r="E14" i="8" s="1" a="1"/>
  <c r="E14" i="8" s="1"/>
  <c r="E13" i="8" a="1"/>
  <c r="E13" i="8" s="1"/>
  <c r="D13" i="8"/>
  <c r="K10" i="8"/>
  <c r="J10" i="8"/>
  <c r="I10" i="8"/>
  <c r="H10" i="8"/>
  <c r="E14" i="7" a="1"/>
  <c r="E14" i="7"/>
  <c r="D14" i="7"/>
  <c r="E13" i="7" a="1"/>
  <c r="E13" i="7" s="1"/>
  <c r="D13" i="7"/>
  <c r="K10" i="7"/>
  <c r="J10" i="7"/>
  <c r="I10" i="7"/>
  <c r="H10" i="7"/>
  <c r="D14" i="6"/>
  <c r="E14" i="6" s="1" a="1"/>
  <c r="E14" i="6" s="1"/>
  <c r="D13" i="6"/>
  <c r="E13" i="6" s="1" a="1"/>
  <c r="E13" i="6" s="1"/>
  <c r="K10" i="6"/>
  <c r="J10" i="6"/>
  <c r="I10" i="6"/>
  <c r="H10" i="6"/>
  <c r="D14" i="5"/>
  <c r="E14" i="5" s="1" a="1"/>
  <c r="E14" i="5" s="1"/>
  <c r="D13" i="5"/>
  <c r="E13" i="5" s="1" a="1"/>
  <c r="E13" i="5" s="1"/>
  <c r="K10" i="5"/>
  <c r="J10" i="5"/>
  <c r="I10" i="5"/>
  <c r="H10" i="5"/>
  <c r="D14" i="4"/>
  <c r="E14" i="4" s="1" a="1"/>
  <c r="E14" i="4" s="1"/>
  <c r="E13" i="4" a="1"/>
  <c r="E13" i="4" s="1"/>
  <c r="D13" i="4"/>
  <c r="K10" i="4"/>
  <c r="J10" i="4"/>
  <c r="I10" i="4"/>
  <c r="H10" i="4"/>
  <c r="E14" i="3" a="1"/>
  <c r="E14" i="3"/>
  <c r="D14" i="3"/>
  <c r="E13" i="3" a="1"/>
  <c r="E13" i="3" s="1"/>
  <c r="D13" i="3"/>
  <c r="K10" i="3"/>
  <c r="J10" i="3"/>
  <c r="I10" i="3"/>
  <c r="H10" i="3"/>
  <c r="D14" i="2"/>
  <c r="E14" i="2" s="1" a="1"/>
  <c r="E14" i="2" s="1"/>
  <c r="D13" i="2"/>
  <c r="E13" i="2" s="1" a="1"/>
  <c r="E13" i="2" s="1"/>
  <c r="K10" i="2"/>
  <c r="J10" i="2"/>
  <c r="I10" i="2"/>
  <c r="H10" i="2"/>
  <c r="D14" i="1"/>
  <c r="E14" i="1" s="1" a="1"/>
  <c r="E14" i="1" s="1"/>
  <c r="D13" i="1"/>
  <c r="E13" i="1" s="1" a="1"/>
  <c r="E13" i="1" s="1"/>
  <c r="K10" i="1"/>
  <c r="J10" i="1"/>
  <c r="I10" i="1"/>
  <c r="H10" i="1"/>
</calcChain>
</file>

<file path=xl/sharedStrings.xml><?xml version="1.0" encoding="utf-8"?>
<sst xmlns="http://schemas.openxmlformats.org/spreadsheetml/2006/main" count="430" uniqueCount="66">
  <si>
    <t>114年度彰化區漁會平時考核成績表</t>
  </si>
  <si>
    <t>姓名</t>
  </si>
  <si>
    <t>郭雅男</t>
  </si>
  <si>
    <t>服務部門</t>
  </si>
  <si>
    <t>信用部</t>
  </si>
  <si>
    <t>工作內容(必填)</t>
  </si>
  <si>
    <t>信用業務</t>
  </si>
  <si>
    <t>考核期間</t>
  </si>
  <si>
    <t>114年O1月至06月</t>
  </si>
  <si>
    <t>主管</t>
  </si>
  <si>
    <t>員工</t>
  </si>
  <si>
    <t>考 核 項 目</t>
  </si>
  <si>
    <t>考核內容</t>
  </si>
  <si>
    <t>分數(0~100)</t>
  </si>
  <si>
    <t>考核</t>
  </si>
  <si>
    <t>績效</t>
  </si>
  <si>
    <t>工作知能及
公文績效</t>
  </si>
  <si>
    <r>
      <rPr>
        <sz val="11"/>
        <rFont val="標楷體"/>
        <family val="4"/>
        <charset val="136"/>
      </rPr>
      <t>嫻熟工作相關專業知識，對於承辦業務能提出具體改進措施，或簡化工作流程，提升效能效率，增進工作績效</t>
    </r>
    <r>
      <rPr>
        <sz val="11"/>
        <color theme="1"/>
        <rFont val="標楷體"/>
        <family val="4"/>
        <charset val="136"/>
      </rPr>
      <t>。公文處理均能掌握品質及時效，臨時交辦案件亦能依限完成。</t>
    </r>
  </si>
  <si>
    <t>服務態度、工作積極及品德操守</t>
  </si>
  <si>
    <t>負責盡職，積極辦理業務，落實顧客導向，提升服務品質。發揮團隊精神，對於工作與職務調整，及與他人協調合作，能優先考量組織目標之達成。
公正和藹，保守秘密，謹慎勤勉，誠實廉潔，無奢侈、放蕩、冶遊、賭博及其他有害聲譽之行為。</t>
  </si>
  <si>
    <r>
      <rPr>
        <sz val="11"/>
        <rFont val="標楷體"/>
        <family val="4"/>
        <charset val="136"/>
      </rPr>
      <t>領導協調
能力</t>
    </r>
    <r>
      <rPr>
        <sz val="11"/>
        <color indexed="2"/>
        <rFont val="標楷體"/>
        <family val="4"/>
        <charset val="136"/>
      </rPr>
      <t xml:space="preserve">(主管職務)   </t>
    </r>
  </si>
  <si>
    <t>具判斷決策溝通協調能力，並能傳授知識、經驗、技能，適當指導同仁，且經常檢討工作計畫執行情形，達成預定績效目標。</t>
  </si>
  <si>
    <t>年度目標達成度</t>
  </si>
  <si>
    <r>
      <rPr>
        <sz val="11"/>
        <color rgb="FF0070C0"/>
        <rFont val="標楷體"/>
        <family val="4"/>
        <charset val="136"/>
      </rPr>
      <t>達成漁會訂定之目標值或成效</t>
    </r>
    <r>
      <rPr>
        <sz val="11"/>
        <color theme="1"/>
        <rFont val="標楷體"/>
        <family val="4"/>
        <charset val="136"/>
      </rPr>
      <t>，如期完成或較預定進度超前，充分達成計畫目標，績效卓著。</t>
    </r>
  </si>
  <si>
    <r>
      <rPr>
        <sz val="11"/>
        <rFont val="標楷體"/>
        <family val="4"/>
        <charset val="136"/>
      </rPr>
      <t>個人重大具體優劣事蹟(受考人如有工作、操行、學識、才能等重大具體優劣事蹟，足資紀錄者，應填於本欄 ，以作為考評之重要參據。)
或</t>
    </r>
    <r>
      <rPr>
        <sz val="11"/>
        <color indexed="2"/>
        <rFont val="標楷體"/>
        <family val="4"/>
        <charset val="136"/>
      </rPr>
      <t>主管評定優等或丙等(含)以下應加敘事由或事蹟</t>
    </r>
  </si>
  <si>
    <t>單位主管評定等級及分數 (請簽章)</t>
  </si>
  <si>
    <t>總幹事綜合考評 (請簽章)</t>
  </si>
  <si>
    <r>
      <t>附註 :  一</t>
    </r>
    <r>
      <rPr>
        <sz val="6"/>
        <color theme="1"/>
        <rFont val="微軟正黑體"/>
        <family val="2"/>
        <charset val="136"/>
      </rPr>
      <t xml:space="preserve">  </t>
    </r>
    <r>
      <rPr>
        <sz val="11"/>
        <color theme="1"/>
        <rFont val="微軟正黑體"/>
        <family val="2"/>
        <charset val="136"/>
      </rPr>
      <t>、依據漁會人事管理辦法第54條規定訂定，但各漁會得視業務特性及需要自行訂定。</t>
    </r>
  </si>
  <si>
    <t xml:space="preserve">           二 、平時考核紀錄等級分為6級，平時考核紀錄等級分述如下:</t>
  </si>
  <si>
    <t xml:space="preserve">                    優:90-99(表現優異，足為同仁表率。)</t>
  </si>
  <si>
    <t xml:space="preserve">                    甲:80-89(表現明顯地超出該職責的要求水準。)</t>
  </si>
  <si>
    <t xml:space="preserve">                    乙:70-79(表現均能達到要求水準。)</t>
  </si>
  <si>
    <t xml:space="preserve">                    丙:60-69(表現未盡符合基本要求。)</t>
  </si>
  <si>
    <t xml:space="preserve">                    丁:50-59(表現多未達基本要求，經勸導仍未改進者。)</t>
  </si>
  <si>
    <t xml:space="preserve">                    戊:40-49(無故曠工。)</t>
  </si>
  <si>
    <t>鄭穎玲</t>
  </si>
  <si>
    <t>財務部</t>
  </si>
  <si>
    <t>總理全會財務</t>
  </si>
  <si>
    <t>黃明田</t>
  </si>
  <si>
    <t>資訊部</t>
  </si>
  <si>
    <t>總理資訊業務</t>
  </si>
  <si>
    <t>洪榆涵</t>
  </si>
  <si>
    <t>大城分部</t>
  </si>
  <si>
    <t>總理分部業務</t>
  </si>
  <si>
    <t>陳希如</t>
  </si>
  <si>
    <t>王功分部</t>
  </si>
  <si>
    <t>洪玉映</t>
  </si>
  <si>
    <t>芳苑分部</t>
  </si>
  <si>
    <t>粘秋蘭</t>
  </si>
  <si>
    <t>草港分部</t>
  </si>
  <si>
    <t>李永同</t>
  </si>
  <si>
    <t>福興分部</t>
  </si>
  <si>
    <t>鄭賜恩</t>
  </si>
  <si>
    <t>伸港分部</t>
  </si>
  <si>
    <t>洪明洲</t>
  </si>
  <si>
    <t>埔心分部</t>
  </si>
  <si>
    <t>0035</t>
  </si>
  <si>
    <t>0026</t>
  </si>
  <si>
    <t>0029</t>
  </si>
  <si>
    <t>0040</t>
  </si>
  <si>
    <t>0076</t>
  </si>
  <si>
    <t>0017</t>
  </si>
  <si>
    <t>0101</t>
  </si>
  <si>
    <t>0088</t>
  </si>
  <si>
    <t>0142</t>
  </si>
  <si>
    <t>0053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</si>
</sst>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rial"/>
      <scheme val="minor"/>
    </font>
    <font>
      <sz val="11"/>
      <color theme="1"/>
      <name val="微軟正黑體"/>
      <family val="2"/>
      <charset val="136"/>
    </font>
    <font>
      <b/>
      <sz val="16"/>
      <color theme="1"/>
      <name val="標楷體"/>
      <family val="4"/>
      <charset val="136"/>
    </font>
    <font>
      <sz val="11"/>
      <color theme="1"/>
      <name val="標楷體"/>
      <family val="4"/>
      <charset val="136"/>
    </font>
    <font>
      <sz val="11"/>
      <color indexed="2"/>
      <name val="標楷體"/>
      <family val="4"/>
      <charset val="136"/>
    </font>
    <font>
      <sz val="11"/>
      <color theme="1"/>
      <name val="Microsoft JhengHei"/>
      <family val="2"/>
      <charset val="136"/>
    </font>
    <font>
      <sz val="11"/>
      <color theme="1"/>
      <name val="Arial Unicode MS"/>
      <family val="2"/>
      <charset val="136"/>
    </font>
    <font>
      <sz val="11"/>
      <name val="標楷體"/>
      <family val="4"/>
      <charset val="136"/>
    </font>
    <font>
      <sz val="11"/>
      <color rgb="FF0070C0"/>
      <name val="標楷體"/>
      <family val="4"/>
      <charset val="136"/>
    </font>
    <font>
      <sz val="6"/>
      <color theme="1"/>
      <name val="微軟正黑體"/>
      <family val="2"/>
      <charset val="136"/>
    </font>
    <font>
      <sz val="9"/>
      <name val="Arial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theme="0" tint="-4.9989318521683403E-2"/>
      </patternFill>
    </fill>
    <fill>
      <patternFill patternType="solid">
        <fgColor theme="9" tint="0.79998168889431442"/>
        <bgColor theme="9" tint="0.79998168889431442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Protection="1"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0" xfId="0" applyFont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1" xfId="0" applyBorder="1" applyProtection="1">
      <protection locked="0"/>
    </xf>
    <xf numFmtId="0" fontId="0" fillId="0" borderId="2" xfId="0" applyBorder="1" applyProtection="1"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9" fontId="6" fillId="3" borderId="2" xfId="0" applyNumberFormat="1" applyFont="1" applyFill="1" applyBorder="1" applyAlignment="1">
      <alignment horizontal="center" vertical="center"/>
    </xf>
    <xf numFmtId="0" fontId="4" fillId="0" borderId="2" xfId="0" applyFont="1" applyBorder="1" applyAlignment="1" applyProtection="1">
      <alignment horizontal="left" vertical="center" indent="1"/>
      <protection locked="0"/>
    </xf>
    <xf numFmtId="0" fontId="0" fillId="0" borderId="0" xfId="0" applyAlignment="1" applyProtection="1">
      <alignment horizontal="left"/>
      <protection locked="0"/>
    </xf>
    <xf numFmtId="0" fontId="1" fillId="0" borderId="0" xfId="0" applyFont="1" applyAlignment="1" applyProtection="1">
      <alignment horizontal="left" vertical="center"/>
      <protection locked="0"/>
    </xf>
    <xf numFmtId="0" fontId="1" fillId="0" borderId="0" xfId="0" applyFont="1" applyAlignment="1" applyProtection="1">
      <alignment horizontal="left" vertical="center" wrapText="1"/>
      <protection locked="0"/>
    </xf>
    <xf numFmtId="0" fontId="1" fillId="0" borderId="0" xfId="0" applyFont="1" applyAlignment="1" applyProtection="1">
      <alignment horizontal="left" wrapText="1"/>
      <protection locked="0"/>
    </xf>
    <xf numFmtId="0" fontId="1" fillId="0" borderId="0" xfId="0" applyFont="1" applyAlignment="1" applyProtection="1">
      <alignment horizontal="left"/>
      <protection locked="0"/>
    </xf>
    <xf numFmtId="0" fontId="1" fillId="0" borderId="0" xfId="0" applyFont="1" applyAlignment="1" applyProtection="1">
      <alignment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2" fillId="0" borderId="5" xfId="0" applyFont="1" applyBorder="1" applyAlignment="1" applyProtection="1">
      <alignment horizontal="center" vertical="center" wrapText="1"/>
      <protection locked="0"/>
    </xf>
    <xf numFmtId="0" fontId="3" fillId="0" borderId="2" xfId="0" applyFont="1" applyBorder="1" applyAlignment="1" applyProtection="1">
      <alignment horizontal="center" vertical="center" wrapText="1"/>
      <protection locked="0"/>
    </xf>
    <xf numFmtId="0" fontId="3" fillId="2" borderId="3" xfId="0" applyFont="1" applyFill="1" applyBorder="1" applyAlignment="1" applyProtection="1">
      <alignment horizontal="left" vertical="top" wrapText="1"/>
      <protection locked="0"/>
    </xf>
    <xf numFmtId="0" fontId="3" fillId="2" borderId="4" xfId="0" applyFont="1" applyFill="1" applyBorder="1" applyAlignment="1" applyProtection="1">
      <alignment horizontal="left" vertical="top" wrapText="1"/>
      <protection locked="0"/>
    </xf>
    <xf numFmtId="0" fontId="3" fillId="2" borderId="5" xfId="0" applyFont="1" applyFill="1" applyBorder="1" applyAlignment="1" applyProtection="1">
      <alignment horizontal="left" vertical="top" wrapText="1"/>
      <protection locked="0"/>
    </xf>
    <xf numFmtId="0" fontId="4" fillId="2" borderId="2" xfId="0" applyFont="1" applyFill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horizontal="center" vertical="center"/>
      <protection locked="0"/>
    </xf>
    <xf numFmtId="0" fontId="3" fillId="0" borderId="2" xfId="0" applyFont="1" applyBorder="1" applyAlignment="1" applyProtection="1">
      <alignment vertical="center" wrapText="1"/>
      <protection locked="0"/>
    </xf>
    <xf numFmtId="0" fontId="7" fillId="0" borderId="2" xfId="0" applyFont="1" applyBorder="1" applyAlignment="1" applyProtection="1">
      <alignment vertical="center" wrapText="1"/>
      <protection locked="0"/>
    </xf>
    <xf numFmtId="0" fontId="4" fillId="0" borderId="2" xfId="0" applyFont="1" applyBorder="1" applyAlignment="1" applyProtection="1">
      <alignment vertical="center" wrapText="1"/>
      <protection locked="0"/>
    </xf>
    <xf numFmtId="0" fontId="3" fillId="0" borderId="2" xfId="0" applyFont="1" applyBorder="1" applyAlignment="1" applyProtection="1">
      <alignment horizontal="left" vertical="center" wrapText="1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0" fontId="7" fillId="2" borderId="3" xfId="0" applyFont="1" applyFill="1" applyBorder="1" applyAlignment="1" applyProtection="1">
      <alignment horizontal="left" vertical="top" wrapText="1"/>
      <protection locked="0"/>
    </xf>
    <xf numFmtId="0" fontId="7" fillId="2" borderId="4" xfId="0" applyFont="1" applyFill="1" applyBorder="1" applyAlignment="1" applyProtection="1">
      <alignment horizontal="left" vertical="top" wrapText="1"/>
      <protection locked="0"/>
    </xf>
    <xf numFmtId="0" fontId="7" fillId="2" borderId="5" xfId="0" applyFont="1" applyFill="1" applyBorder="1" applyAlignment="1" applyProtection="1">
      <alignment horizontal="left" vertical="top" wrapText="1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opLeftCell="B1" workbookViewId="0">
      <selection activeCell="C3" sqref="C3:K3"/>
    </sheetView>
  </sheetViews>
  <sheetFormatPr defaultColWidth="11.19921875" defaultRowHeight="14.4"/>
  <cols>
    <col min="1" max="1" width="9.765625E-2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2" width="11.19921875" style="1" customWidth="1"/>
    <col min="13" max="16384" width="11.19921875" style="1"/>
  </cols>
  <sheetData>
    <row r="1" spans="1:11" s="6" customFormat="1" ht="36.6" customHeight="1">
      <c r="A1" s="7"/>
      <c r="B1" s="20" t="s">
        <v>0</v>
      </c>
      <c r="C1" s="21"/>
      <c r="D1" s="21"/>
      <c r="E1" s="21"/>
      <c r="F1" s="21"/>
      <c r="G1" s="21"/>
      <c r="H1" s="21"/>
      <c r="I1" s="21"/>
      <c r="J1" s="21"/>
      <c r="K1" s="22"/>
    </row>
    <row r="2" spans="1:11" ht="35.25" customHeight="1">
      <c r="A2" s="7"/>
      <c r="B2" s="8" t="s">
        <v>1</v>
      </c>
      <c r="C2" s="23" t="s">
        <v>2</v>
      </c>
      <c r="D2" s="23"/>
      <c r="E2" s="23"/>
      <c r="F2" s="23" t="s">
        <v>3</v>
      </c>
      <c r="G2" s="23"/>
      <c r="H2" s="23" t="s">
        <v>4</v>
      </c>
      <c r="I2" s="23"/>
      <c r="J2" s="23"/>
      <c r="K2" s="23"/>
    </row>
    <row r="3" spans="1:11" ht="58.8" customHeight="1">
      <c r="A3" s="7"/>
      <c r="B3" s="9" t="s">
        <v>5</v>
      </c>
      <c r="C3" s="24" t="s">
        <v>6</v>
      </c>
      <c r="D3" s="25"/>
      <c r="E3" s="25"/>
      <c r="F3" s="25"/>
      <c r="G3" s="25"/>
      <c r="H3" s="25"/>
      <c r="I3" s="25"/>
      <c r="J3" s="25"/>
      <c r="K3" s="26"/>
    </row>
    <row r="4" spans="1:11" ht="35.25" customHeight="1">
      <c r="A4" s="7"/>
      <c r="B4" s="9" t="s">
        <v>7</v>
      </c>
      <c r="C4" s="27" t="s">
        <v>8</v>
      </c>
      <c r="D4" s="27"/>
      <c r="E4" s="27"/>
      <c r="F4" s="27"/>
      <c r="G4" s="27"/>
      <c r="H4" s="28" t="s">
        <v>9</v>
      </c>
      <c r="I4" s="28"/>
      <c r="J4" s="28" t="s">
        <v>10</v>
      </c>
      <c r="K4" s="28"/>
    </row>
    <row r="5" spans="1:11" ht="30" customHeight="1">
      <c r="A5" s="7"/>
      <c r="B5" s="8" t="s">
        <v>11</v>
      </c>
      <c r="C5" s="29" t="s">
        <v>12</v>
      </c>
      <c r="D5" s="29"/>
      <c r="E5" s="29"/>
      <c r="F5" s="29" t="s">
        <v>13</v>
      </c>
      <c r="G5" s="29"/>
      <c r="H5" s="10" t="s">
        <v>14</v>
      </c>
      <c r="I5" s="10" t="s">
        <v>15</v>
      </c>
      <c r="J5" s="10" t="s">
        <v>14</v>
      </c>
      <c r="K5" s="10" t="s">
        <v>15</v>
      </c>
    </row>
    <row r="6" spans="1:11" ht="64.5" customHeight="1">
      <c r="A6" s="7"/>
      <c r="B6" s="8" t="s">
        <v>16</v>
      </c>
      <c r="C6" s="30" t="s">
        <v>17</v>
      </c>
      <c r="D6" s="30"/>
      <c r="E6" s="30"/>
      <c r="F6" s="29">
        <v>26</v>
      </c>
      <c r="G6" s="29"/>
      <c r="H6" s="12">
        <v>0.3</v>
      </c>
      <c r="I6" s="12">
        <v>0.2</v>
      </c>
      <c r="J6" s="12">
        <v>0.3</v>
      </c>
      <c r="K6" s="12">
        <v>0.25</v>
      </c>
    </row>
    <row r="7" spans="1:11" ht="81" customHeight="1">
      <c r="A7" s="7"/>
      <c r="B7" s="8" t="s">
        <v>18</v>
      </c>
      <c r="C7" s="30" t="s">
        <v>19</v>
      </c>
      <c r="D7" s="30"/>
      <c r="E7" s="30"/>
      <c r="F7" s="29">
        <v>25</v>
      </c>
      <c r="G7" s="29"/>
      <c r="H7" s="12">
        <v>0.3</v>
      </c>
      <c r="I7" s="12">
        <v>0.2</v>
      </c>
      <c r="J7" s="12">
        <v>0.4</v>
      </c>
      <c r="K7" s="12">
        <v>0.25</v>
      </c>
    </row>
    <row r="8" spans="1:11" ht="53.4" customHeight="1">
      <c r="A8" s="7"/>
      <c r="B8" s="8" t="s">
        <v>20</v>
      </c>
      <c r="C8" s="31" t="s">
        <v>21</v>
      </c>
      <c r="D8" s="32"/>
      <c r="E8" s="30"/>
      <c r="F8" s="29">
        <v>8</v>
      </c>
      <c r="G8" s="29"/>
      <c r="H8" s="12">
        <v>0.1</v>
      </c>
      <c r="I8" s="12">
        <v>0.1</v>
      </c>
      <c r="J8" s="12">
        <v>0</v>
      </c>
      <c r="K8" s="12">
        <v>0</v>
      </c>
    </row>
    <row r="9" spans="1:11" ht="40.200000000000003" customHeight="1">
      <c r="A9" s="7"/>
      <c r="B9" s="8" t="s">
        <v>22</v>
      </c>
      <c r="C9" s="30" t="s">
        <v>23</v>
      </c>
      <c r="D9" s="30"/>
      <c r="E9" s="30"/>
      <c r="F9" s="29">
        <v>27</v>
      </c>
      <c r="G9" s="29"/>
      <c r="H9" s="12">
        <v>0.3</v>
      </c>
      <c r="I9" s="12">
        <v>0.5</v>
      </c>
      <c r="J9" s="12">
        <v>0.3</v>
      </c>
      <c r="K9" s="12">
        <v>0.5</v>
      </c>
    </row>
    <row r="10" spans="1:11" ht="50.4" customHeight="1">
      <c r="A10" s="7"/>
      <c r="B10" s="33" t="s">
        <v>24</v>
      </c>
      <c r="C10" s="33"/>
      <c r="D10" s="33"/>
      <c r="E10" s="34"/>
      <c r="F10" s="34"/>
      <c r="G10" s="34"/>
      <c r="H10" s="12">
        <f>SUM(H6:H9)</f>
        <v>1</v>
      </c>
      <c r="I10" s="12">
        <f>SUM(I6:I9)</f>
        <v>1</v>
      </c>
      <c r="J10" s="12">
        <f>SUM(J6:J9)</f>
        <v>1</v>
      </c>
      <c r="K10" s="12">
        <f>SUM(K6:K9)</f>
        <v>1</v>
      </c>
    </row>
    <row r="11" spans="1:11" ht="43.2" customHeight="1">
      <c r="A11" s="7"/>
      <c r="B11" s="35"/>
      <c r="C11" s="36"/>
      <c r="D11" s="36"/>
      <c r="E11" s="36"/>
      <c r="F11" s="36"/>
      <c r="G11" s="36"/>
      <c r="H11" s="36"/>
      <c r="I11" s="36"/>
      <c r="J11" s="36"/>
      <c r="K11" s="37"/>
    </row>
    <row r="12" spans="1:11" ht="31.8" customHeight="1">
      <c r="A12" s="7"/>
      <c r="B12" s="29" t="s">
        <v>25</v>
      </c>
      <c r="C12" s="29"/>
      <c r="D12" s="29"/>
      <c r="E12" s="29"/>
      <c r="F12" s="29" t="s">
        <v>26</v>
      </c>
      <c r="G12" s="29"/>
      <c r="H12" s="29"/>
      <c r="I12" s="29"/>
      <c r="J12" s="29"/>
      <c r="K12" s="29"/>
    </row>
    <row r="13" spans="1:11" ht="30" customHeight="1">
      <c r="A13" s="7"/>
      <c r="B13" s="29" t="s">
        <v>14</v>
      </c>
      <c r="C13" s="29"/>
      <c r="D13" s="11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24</v>
      </c>
      <c r="E13" s="13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考核:戊</v>
      </c>
      <c r="F13" s="38"/>
      <c r="G13" s="38"/>
      <c r="H13" s="38"/>
      <c r="I13" s="38"/>
      <c r="J13" s="38"/>
      <c r="K13" s="38"/>
    </row>
    <row r="14" spans="1:11" ht="30" customHeight="1">
      <c r="A14" s="7"/>
      <c r="B14" s="29" t="s">
        <v>15</v>
      </c>
      <c r="C14" s="29"/>
      <c r="D14" s="11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25</v>
      </c>
      <c r="E14" s="13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績效:戊</v>
      </c>
      <c r="F14" s="38"/>
      <c r="G14" s="38"/>
      <c r="H14" s="38"/>
      <c r="I14" s="38"/>
      <c r="J14" s="38"/>
      <c r="K14" s="38"/>
    </row>
    <row r="15" spans="1:11" s="14" customFormat="1" ht="19.2" customHeight="1">
      <c r="B15" s="15" t="s">
        <v>27</v>
      </c>
      <c r="C15" s="16"/>
      <c r="D15" s="16"/>
      <c r="E15" s="16"/>
      <c r="F15" s="17"/>
      <c r="G15" s="18"/>
      <c r="H15" s="5"/>
      <c r="I15" s="5"/>
      <c r="J15" s="5"/>
      <c r="K15" s="5"/>
    </row>
    <row r="16" spans="1:11" s="14" customFormat="1">
      <c r="B16" s="15" t="s">
        <v>28</v>
      </c>
      <c r="C16" s="16"/>
      <c r="D16" s="16"/>
      <c r="E16" s="16"/>
      <c r="F16" s="18"/>
      <c r="G16" s="18"/>
      <c r="H16" s="5"/>
      <c r="I16" s="5"/>
      <c r="J16" s="5"/>
      <c r="K16" s="5"/>
    </row>
    <row r="17" spans="2:11" s="14" customFormat="1">
      <c r="B17" s="15" t="s">
        <v>29</v>
      </c>
      <c r="C17" s="16"/>
      <c r="D17" s="16"/>
      <c r="E17" s="16"/>
      <c r="F17" s="18"/>
      <c r="G17" s="18"/>
      <c r="H17" s="5"/>
      <c r="I17" s="5"/>
      <c r="J17" s="5"/>
      <c r="K17" s="5"/>
    </row>
    <row r="18" spans="2:11" s="14" customFormat="1">
      <c r="B18" s="15" t="s">
        <v>30</v>
      </c>
      <c r="C18" s="16"/>
      <c r="D18" s="16"/>
      <c r="E18" s="16"/>
      <c r="F18" s="18"/>
      <c r="G18" s="18"/>
      <c r="H18" s="5"/>
      <c r="I18" s="5"/>
      <c r="J18" s="5"/>
      <c r="K18" s="5"/>
    </row>
    <row r="19" spans="2:11" s="14" customFormat="1">
      <c r="B19" s="15" t="s">
        <v>31</v>
      </c>
      <c r="C19" s="16"/>
      <c r="D19" s="16"/>
      <c r="E19" s="16"/>
      <c r="F19" s="18"/>
      <c r="G19" s="18"/>
      <c r="H19" s="5"/>
      <c r="I19" s="5"/>
      <c r="J19" s="5"/>
      <c r="K19" s="5"/>
    </row>
    <row r="20" spans="2:11" s="14" customFormat="1">
      <c r="B20" s="15" t="s">
        <v>32</v>
      </c>
      <c r="C20" s="16"/>
      <c r="D20" s="16"/>
      <c r="E20" s="16"/>
      <c r="F20" s="18"/>
      <c r="G20" s="18"/>
      <c r="H20" s="5"/>
      <c r="I20" s="5"/>
      <c r="J20" s="5"/>
      <c r="K20" s="5"/>
    </row>
    <row r="21" spans="2:11" s="14" customFormat="1">
      <c r="B21" s="15" t="s">
        <v>33</v>
      </c>
      <c r="C21" s="16"/>
      <c r="D21" s="16"/>
      <c r="E21" s="16"/>
      <c r="F21" s="18"/>
      <c r="G21" s="18"/>
      <c r="H21" s="5"/>
      <c r="I21" s="5"/>
      <c r="J21" s="5"/>
      <c r="K21" s="5"/>
    </row>
    <row r="22" spans="2:11" s="14" customFormat="1">
      <c r="B22" s="15" t="s">
        <v>34</v>
      </c>
      <c r="C22" s="16"/>
      <c r="D22" s="16"/>
      <c r="E22" s="16"/>
      <c r="F22" s="18"/>
      <c r="G22" s="18"/>
      <c r="H22" s="5"/>
      <c r="I22" s="5"/>
      <c r="J22" s="5"/>
      <c r="K22" s="5"/>
    </row>
    <row r="23" spans="2:11" s="14" customFormat="1">
      <c r="B23" s="15"/>
      <c r="C23" s="16"/>
      <c r="D23" s="16"/>
      <c r="E23" s="16"/>
      <c r="F23" s="18"/>
      <c r="G23" s="18"/>
      <c r="H23" s="5"/>
      <c r="I23" s="5"/>
      <c r="J23" s="5"/>
      <c r="K23" s="5"/>
    </row>
    <row r="24" spans="2:11">
      <c r="B24" s="19"/>
    </row>
    <row r="25" spans="2:11">
      <c r="B25" s="19"/>
    </row>
  </sheetData>
  <sheetProtection algorithmName="SHA-512" hashValue="OG7yWK80DdPK3TQwjI3PaNQK+bJsoDVL8H3S5hD1CDK+7GphyYGSphIMHhYKiKEpNWn7jc4sy8IGs4DMkSWifg==" saltValue="4SwpJakn5J/PkUzSOWhRUA==" spinCount="100000" sheet="1" objects="1" scenarios="1" selectLockedCells="1"/>
  <mergeCells count="26">
    <mergeCell ref="B13:C13"/>
    <mergeCell ref="F13:K13"/>
    <mergeCell ref="B14:C14"/>
    <mergeCell ref="F14:K14"/>
    <mergeCell ref="C9:E9"/>
    <mergeCell ref="F9:G9"/>
    <mergeCell ref="B10:G10"/>
    <mergeCell ref="B11:K11"/>
    <mergeCell ref="B12:E12"/>
    <mergeCell ref="F12:K12"/>
    <mergeCell ref="C6:E6"/>
    <mergeCell ref="F6:G6"/>
    <mergeCell ref="C7:E7"/>
    <mergeCell ref="F7:G7"/>
    <mergeCell ref="C8:E8"/>
    <mergeCell ref="F8:G8"/>
    <mergeCell ref="C4:G4"/>
    <mergeCell ref="H4:I4"/>
    <mergeCell ref="J4:K4"/>
    <mergeCell ref="C5:E5"/>
    <mergeCell ref="F5:G5"/>
    <mergeCell ref="B1:K1"/>
    <mergeCell ref="C2:E2"/>
    <mergeCell ref="F2:G2"/>
    <mergeCell ref="H2:K2"/>
    <mergeCell ref="C3:K3"/>
  </mergeCells>
  <phoneticPr fontId="10" type="noConversion"/>
  <dataValidations count="2">
    <dataValidation type="whole" allowBlank="1" showInputMessage="1" showErrorMessage="1" error="請輸入0-100之間" prompt="請輸入0-100之間" sqref="F6" xr:uid="{00D60038-0093-4497-9514-00DE00D9004A}">
      <formula1>0</formula1>
      <formula2>100</formula2>
    </dataValidation>
    <dataValidation type="whole" allowBlank="1" showInputMessage="1" showErrorMessage="1" error="請輸入0-100之間" sqref="F7:F9" xr:uid="{00D9002B-006B-4D55-BAAE-00EE00B600BA}">
      <formula1>0</formula1>
      <formula2>100</formula2>
    </dataValidation>
  </dataValidations>
  <printOptions horizontalCentered="1"/>
  <pageMargins left="3.937007874015748E-2" right="3.937007874015748E-2" top="0.55118110236220474" bottom="0.74803149606299213" header="0.31496062992125984" footer="0.31496062992125984"/>
  <pageSetup paperSize="9" orientation="portrait" useFirstPageNumber="1" horizontalDpi="2147483648" verticalDpi="214748364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5"/>
  <sheetViews>
    <sheetView topLeftCell="B21" workbookViewId="0">
      <selection activeCell="C3" sqref="C3"/>
    </sheetView>
  </sheetViews>
  <sheetFormatPr defaultColWidth="11.19921875" defaultRowHeight="14.4"/>
  <cols>
    <col min="1" max="1" width="9.765625E-2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2" width="11.19921875" style="1" customWidth="1"/>
    <col min="13" max="16384" width="11.19921875" style="1"/>
  </cols>
  <sheetData>
    <row r="1" spans="1:11" s="6" customFormat="1" ht="36.6" customHeight="1">
      <c r="A1" s="7"/>
      <c r="B1" s="20" t="s">
        <v>0</v>
      </c>
      <c r="C1" s="21"/>
      <c r="D1" s="21"/>
      <c r="E1" s="21"/>
      <c r="F1" s="21"/>
      <c r="G1" s="21"/>
      <c r="H1" s="21"/>
      <c r="I1" s="21"/>
      <c r="J1" s="21"/>
      <c r="K1" s="22"/>
    </row>
    <row r="2" spans="1:11" ht="35.25" customHeight="1">
      <c r="A2" s="7"/>
      <c r="B2" s="8" t="s">
        <v>1</v>
      </c>
      <c r="C2" s="23" t="s">
        <v>35</v>
      </c>
      <c r="D2" s="23"/>
      <c r="E2" s="23"/>
      <c r="F2" s="23" t="s">
        <v>3</v>
      </c>
      <c r="G2" s="23"/>
      <c r="H2" s="23" t="s">
        <v>36</v>
      </c>
      <c r="I2" s="23"/>
      <c r="J2" s="23"/>
      <c r="K2" s="23"/>
    </row>
    <row r="3" spans="1:11" ht="58.8" customHeight="1">
      <c r="A3" s="7"/>
      <c r="B3" s="9" t="s">
        <v>5</v>
      </c>
      <c r="C3" s="24" t="s">
        <v>37</v>
      </c>
      <c r="D3" s="25"/>
      <c r="E3" s="25"/>
      <c r="F3" s="25"/>
      <c r="G3" s="25"/>
      <c r="H3" s="25"/>
      <c r="I3" s="25"/>
      <c r="J3" s="25"/>
      <c r="K3" s="26"/>
    </row>
    <row r="4" spans="1:11" ht="35.25" customHeight="1">
      <c r="A4" s="7"/>
      <c r="B4" s="9" t="s">
        <v>7</v>
      </c>
      <c r="C4" s="27" t="s">
        <v>8</v>
      </c>
      <c r="D4" s="27"/>
      <c r="E4" s="27"/>
      <c r="F4" s="27"/>
      <c r="G4" s="27"/>
      <c r="H4" s="28" t="s">
        <v>9</v>
      </c>
      <c r="I4" s="28"/>
      <c r="J4" s="28" t="s">
        <v>10</v>
      </c>
      <c r="K4" s="28"/>
    </row>
    <row r="5" spans="1:11" ht="30" customHeight="1">
      <c r="A5" s="7"/>
      <c r="B5" s="8" t="s">
        <v>11</v>
      </c>
      <c r="C5" s="29" t="s">
        <v>12</v>
      </c>
      <c r="D5" s="29"/>
      <c r="E5" s="29"/>
      <c r="F5" s="29" t="s">
        <v>13</v>
      </c>
      <c r="G5" s="29"/>
      <c r="H5" s="10" t="s">
        <v>14</v>
      </c>
      <c r="I5" s="10" t="s">
        <v>15</v>
      </c>
      <c r="J5" s="10" t="s">
        <v>14</v>
      </c>
      <c r="K5" s="10" t="s">
        <v>15</v>
      </c>
    </row>
    <row r="6" spans="1:11" ht="64.5" customHeight="1">
      <c r="A6" s="7"/>
      <c r="B6" s="8" t="s">
        <v>16</v>
      </c>
      <c r="C6" s="30" t="s">
        <v>17</v>
      </c>
      <c r="D6" s="30"/>
      <c r="E6" s="30"/>
      <c r="F6" s="29">
        <v>27</v>
      </c>
      <c r="G6" s="29"/>
      <c r="H6" s="12">
        <v>0.3</v>
      </c>
      <c r="I6" s="12">
        <v>0.2</v>
      </c>
      <c r="J6" s="12">
        <v>0.3</v>
      </c>
      <c r="K6" s="12">
        <v>0.25</v>
      </c>
    </row>
    <row r="7" spans="1:11" ht="81" customHeight="1">
      <c r="A7" s="7"/>
      <c r="B7" s="8" t="s">
        <v>18</v>
      </c>
      <c r="C7" s="30" t="s">
        <v>19</v>
      </c>
      <c r="D7" s="30"/>
      <c r="E7" s="30"/>
      <c r="F7" s="29">
        <v>27</v>
      </c>
      <c r="G7" s="29"/>
      <c r="H7" s="12">
        <v>0.3</v>
      </c>
      <c r="I7" s="12">
        <v>0.2</v>
      </c>
      <c r="J7" s="12">
        <v>0.4</v>
      </c>
      <c r="K7" s="12">
        <v>0.25</v>
      </c>
    </row>
    <row r="8" spans="1:11" ht="53.4" customHeight="1">
      <c r="A8" s="7"/>
      <c r="B8" s="8" t="s">
        <v>20</v>
      </c>
      <c r="C8" s="31" t="s">
        <v>21</v>
      </c>
      <c r="D8" s="32"/>
      <c r="E8" s="30"/>
      <c r="F8" s="29">
        <v>9</v>
      </c>
      <c r="G8" s="29"/>
      <c r="H8" s="12">
        <v>0.1</v>
      </c>
      <c r="I8" s="12">
        <v>0.1</v>
      </c>
      <c r="J8" s="12">
        <v>0</v>
      </c>
      <c r="K8" s="12">
        <v>0</v>
      </c>
    </row>
    <row r="9" spans="1:11" ht="40.200000000000003" customHeight="1">
      <c r="A9" s="7"/>
      <c r="B9" s="8" t="s">
        <v>22</v>
      </c>
      <c r="C9" s="30" t="s">
        <v>23</v>
      </c>
      <c r="D9" s="30"/>
      <c r="E9" s="30"/>
      <c r="F9" s="29">
        <v>27</v>
      </c>
      <c r="G9" s="29"/>
      <c r="H9" s="12">
        <v>0.3</v>
      </c>
      <c r="I9" s="12">
        <v>0.5</v>
      </c>
      <c r="J9" s="12">
        <v>0.3</v>
      </c>
      <c r="K9" s="12">
        <v>0.5</v>
      </c>
    </row>
    <row r="10" spans="1:11" ht="50.4" customHeight="1">
      <c r="A10" s="7"/>
      <c r="B10" s="33" t="s">
        <v>24</v>
      </c>
      <c r="C10" s="33"/>
      <c r="D10" s="33"/>
      <c r="E10" s="34"/>
      <c r="F10" s="34"/>
      <c r="G10" s="34"/>
      <c r="H10" s="12">
        <f>SUM(H6:H9)</f>
        <v>1</v>
      </c>
      <c r="I10" s="12">
        <f>SUM(I6:I9)</f>
        <v>1</v>
      </c>
      <c r="J10" s="12">
        <f>SUM(J6:J9)</f>
        <v>1</v>
      </c>
      <c r="K10" s="12">
        <f>SUM(K6:K9)</f>
        <v>1</v>
      </c>
    </row>
    <row r="11" spans="1:11" ht="43.2" customHeight="1">
      <c r="A11" s="7"/>
      <c r="B11" s="35"/>
      <c r="C11" s="36"/>
      <c r="D11" s="36"/>
      <c r="E11" s="36"/>
      <c r="F11" s="36"/>
      <c r="G11" s="36"/>
      <c r="H11" s="36"/>
      <c r="I11" s="36"/>
      <c r="J11" s="36"/>
      <c r="K11" s="37"/>
    </row>
    <row r="12" spans="1:11" ht="31.8" customHeight="1">
      <c r="A12" s="7"/>
      <c r="B12" s="29" t="s">
        <v>25</v>
      </c>
      <c r="C12" s="29"/>
      <c r="D12" s="29"/>
      <c r="E12" s="29"/>
      <c r="F12" s="29" t="s">
        <v>26</v>
      </c>
      <c r="G12" s="29"/>
      <c r="H12" s="29"/>
      <c r="I12" s="29"/>
      <c r="J12" s="29"/>
      <c r="K12" s="29"/>
    </row>
    <row r="13" spans="1:11" ht="30" customHeight="1">
      <c r="A13" s="7"/>
      <c r="B13" s="29" t="s">
        <v>14</v>
      </c>
      <c r="C13" s="29"/>
      <c r="D13" s="11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25</v>
      </c>
      <c r="E13" s="13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考核:戊</v>
      </c>
      <c r="F13" s="38"/>
      <c r="G13" s="38"/>
      <c r="H13" s="38"/>
      <c r="I13" s="38"/>
      <c r="J13" s="38"/>
      <c r="K13" s="38"/>
    </row>
    <row r="14" spans="1:11" ht="30" customHeight="1">
      <c r="A14" s="7"/>
      <c r="B14" s="29" t="s">
        <v>15</v>
      </c>
      <c r="C14" s="29"/>
      <c r="D14" s="11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25</v>
      </c>
      <c r="E14" s="13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績效:戊</v>
      </c>
      <c r="F14" s="38"/>
      <c r="G14" s="38"/>
      <c r="H14" s="38"/>
      <c r="I14" s="38"/>
      <c r="J14" s="38"/>
      <c r="K14" s="38"/>
    </row>
    <row r="15" spans="1:11" s="14" customFormat="1" ht="19.2" customHeight="1">
      <c r="B15" s="15" t="s">
        <v>27</v>
      </c>
      <c r="C15" s="16"/>
      <c r="D15" s="16"/>
      <c r="E15" s="16"/>
      <c r="F15" s="17"/>
      <c r="G15" s="18"/>
      <c r="H15" s="5"/>
      <c r="I15" s="5"/>
      <c r="J15" s="5"/>
      <c r="K15" s="5"/>
    </row>
    <row r="16" spans="1:11" s="14" customFormat="1">
      <c r="B16" s="15" t="s">
        <v>28</v>
      </c>
      <c r="C16" s="16"/>
      <c r="D16" s="16"/>
      <c r="E16" s="16"/>
      <c r="F16" s="18"/>
      <c r="G16" s="18"/>
      <c r="H16" s="5"/>
      <c r="I16" s="5"/>
      <c r="J16" s="5"/>
      <c r="K16" s="5"/>
    </row>
    <row r="17" spans="2:11" s="14" customFormat="1">
      <c r="B17" s="15" t="s">
        <v>29</v>
      </c>
      <c r="C17" s="16"/>
      <c r="D17" s="16"/>
      <c r="E17" s="16"/>
      <c r="F17" s="18"/>
      <c r="G17" s="18"/>
      <c r="H17" s="5"/>
      <c r="I17" s="5"/>
      <c r="J17" s="5"/>
      <c r="K17" s="5"/>
    </row>
    <row r="18" spans="2:11" s="14" customFormat="1">
      <c r="B18" s="15" t="s">
        <v>30</v>
      </c>
      <c r="C18" s="16"/>
      <c r="D18" s="16"/>
      <c r="E18" s="16"/>
      <c r="F18" s="18"/>
      <c r="G18" s="18"/>
      <c r="H18" s="5"/>
      <c r="I18" s="5"/>
      <c r="J18" s="5"/>
      <c r="K18" s="5"/>
    </row>
    <row r="19" spans="2:11" s="14" customFormat="1">
      <c r="B19" s="15" t="s">
        <v>31</v>
      </c>
      <c r="C19" s="16"/>
      <c r="D19" s="16"/>
      <c r="E19" s="16"/>
      <c r="F19" s="18"/>
      <c r="G19" s="18"/>
      <c r="H19" s="5"/>
      <c r="I19" s="5"/>
      <c r="J19" s="5"/>
      <c r="K19" s="5"/>
    </row>
    <row r="20" spans="2:11" s="14" customFormat="1">
      <c r="B20" s="15" t="s">
        <v>32</v>
      </c>
      <c r="C20" s="16"/>
      <c r="D20" s="16"/>
      <c r="E20" s="16"/>
      <c r="F20" s="18"/>
      <c r="G20" s="18"/>
      <c r="H20" s="5"/>
      <c r="I20" s="5"/>
      <c r="J20" s="5"/>
      <c r="K20" s="5"/>
    </row>
    <row r="21" spans="2:11" s="14" customFormat="1">
      <c r="B21" s="15" t="s">
        <v>33</v>
      </c>
      <c r="C21" s="16"/>
      <c r="D21" s="16"/>
      <c r="E21" s="16"/>
      <c r="F21" s="18"/>
      <c r="G21" s="18"/>
      <c r="H21" s="5"/>
      <c r="I21" s="5"/>
      <c r="J21" s="5"/>
      <c r="K21" s="5"/>
    </row>
    <row r="22" spans="2:11" s="14" customFormat="1">
      <c r="B22" s="15" t="s">
        <v>34</v>
      </c>
      <c r="C22" s="16"/>
      <c r="D22" s="16"/>
      <c r="E22" s="16"/>
      <c r="F22" s="18"/>
      <c r="G22" s="18"/>
      <c r="H22" s="5"/>
      <c r="I22" s="5"/>
      <c r="J22" s="5"/>
      <c r="K22" s="5"/>
    </row>
    <row r="23" spans="2:11" s="14" customFormat="1">
      <c r="B23" s="15"/>
      <c r="C23" s="16"/>
      <c r="D23" s="16"/>
      <c r="E23" s="16"/>
      <c r="F23" s="18"/>
      <c r="G23" s="18"/>
      <c r="H23" s="5"/>
      <c r="I23" s="5"/>
      <c r="J23" s="5"/>
      <c r="K23" s="5"/>
    </row>
    <row r="24" spans="2:11">
      <c r="B24" s="19"/>
    </row>
    <row r="25" spans="2:11">
      <c r="B25" s="19"/>
    </row>
  </sheetData>
  <sheetProtection algorithmName="SHA-512" hashValue="OG7yWK80DdPK3TQwjI3PaNQK+bJsoDVL8H3S5hD1CDK+7GphyYGSphIMHhYKiKEpNWn7jc4sy8IGs4DMkSWifg==" saltValue="4SwpJakn5J/PkUzSOWhRUA==" spinCount="100000" sheet="1" objects="1" scenarios="1" selectLockedCells="1"/>
  <mergeCells count="26">
    <mergeCell ref="B13:C13"/>
    <mergeCell ref="F13:K13"/>
    <mergeCell ref="B14:C14"/>
    <mergeCell ref="F14:K14"/>
    <mergeCell ref="C9:E9"/>
    <mergeCell ref="F9:G9"/>
    <mergeCell ref="B10:G10"/>
    <mergeCell ref="B11:K11"/>
    <mergeCell ref="B12:E12"/>
    <mergeCell ref="F12:K12"/>
    <mergeCell ref="C6:E6"/>
    <mergeCell ref="F6:G6"/>
    <mergeCell ref="C7:E7"/>
    <mergeCell ref="F7:G7"/>
    <mergeCell ref="C8:E8"/>
    <mergeCell ref="F8:G8"/>
    <mergeCell ref="C4:G4"/>
    <mergeCell ref="H4:I4"/>
    <mergeCell ref="J4:K4"/>
    <mergeCell ref="C5:E5"/>
    <mergeCell ref="F5:G5"/>
    <mergeCell ref="B1:K1"/>
    <mergeCell ref="C2:E2"/>
    <mergeCell ref="F2:G2"/>
    <mergeCell ref="H2:K2"/>
    <mergeCell ref="C3:K3"/>
  </mergeCells>
  <phoneticPr fontId="10" type="noConversion"/>
  <dataValidations count="2">
    <dataValidation type="whole" allowBlank="1" showInputMessage="1" showErrorMessage="1" error="請輸入0-100之間" prompt="請輸入0-100之間" sqref="F6" xr:uid="{00E50049-00E1-40AD-A123-00A6003E00EB}">
      <formula1>0</formula1>
      <formula2>100</formula2>
    </dataValidation>
    <dataValidation type="whole" allowBlank="1" showInputMessage="1" showErrorMessage="1" error="請輸入0-100之間" sqref="F7:F9" xr:uid="{00A600E2-0020-475C-958B-000500FE00F0}">
      <formula1>0</formula1>
      <formula2>100</formula2>
    </dataValidation>
  </dataValidations>
  <printOptions horizontalCentered="1"/>
  <pageMargins left="3.937007874015748E-2" right="3.937007874015748E-2" top="0.55118110236220474" bottom="0.74803149606299213" header="0.31496062992125984" footer="0.31496062992125984"/>
  <pageSetup paperSize="9" orientation="portrait" useFirstPageNumber="1" horizontalDpi="2147483648" verticalDpi="214748364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5"/>
  <sheetViews>
    <sheetView topLeftCell="B9" workbookViewId="0">
      <selection activeCell="C3" sqref="C3"/>
    </sheetView>
  </sheetViews>
  <sheetFormatPr defaultColWidth="11.19921875" defaultRowHeight="14.4"/>
  <cols>
    <col min="1" max="1" width="9.765625E-2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2" width="11.19921875" style="1" customWidth="1"/>
    <col min="13" max="16384" width="11.19921875" style="1"/>
  </cols>
  <sheetData>
    <row r="1" spans="1:11" s="6" customFormat="1" ht="36.6" customHeight="1">
      <c r="A1" s="7"/>
      <c r="B1" s="20" t="s">
        <v>0</v>
      </c>
      <c r="C1" s="21"/>
      <c r="D1" s="21"/>
      <c r="E1" s="21"/>
      <c r="F1" s="21"/>
      <c r="G1" s="21"/>
      <c r="H1" s="21"/>
      <c r="I1" s="21"/>
      <c r="J1" s="21"/>
      <c r="K1" s="22"/>
    </row>
    <row r="2" spans="1:11" ht="35.25" customHeight="1">
      <c r="A2" s="7"/>
      <c r="B2" s="8" t="s">
        <v>1</v>
      </c>
      <c r="C2" s="23" t="s">
        <v>38</v>
      </c>
      <c r="D2" s="23"/>
      <c r="E2" s="23"/>
      <c r="F2" s="23" t="s">
        <v>3</v>
      </c>
      <c r="G2" s="23"/>
      <c r="H2" s="23" t="s">
        <v>39</v>
      </c>
      <c r="I2" s="23"/>
      <c r="J2" s="23"/>
      <c r="K2" s="23"/>
    </row>
    <row r="3" spans="1:11" ht="58.8" customHeight="1">
      <c r="A3" s="7"/>
      <c r="B3" s="9" t="s">
        <v>5</v>
      </c>
      <c r="C3" s="24" t="s">
        <v>40</v>
      </c>
      <c r="D3" s="25"/>
      <c r="E3" s="25"/>
      <c r="F3" s="25"/>
      <c r="G3" s="25"/>
      <c r="H3" s="25"/>
      <c r="I3" s="25"/>
      <c r="J3" s="25"/>
      <c r="K3" s="26"/>
    </row>
    <row r="4" spans="1:11" ht="35.25" customHeight="1">
      <c r="A4" s="7"/>
      <c r="B4" s="9" t="s">
        <v>7</v>
      </c>
      <c r="C4" s="27" t="s">
        <v>8</v>
      </c>
      <c r="D4" s="27"/>
      <c r="E4" s="27"/>
      <c r="F4" s="27"/>
      <c r="G4" s="27"/>
      <c r="H4" s="28" t="s">
        <v>9</v>
      </c>
      <c r="I4" s="28"/>
      <c r="J4" s="28" t="s">
        <v>10</v>
      </c>
      <c r="K4" s="28"/>
    </row>
    <row r="5" spans="1:11" ht="30" customHeight="1">
      <c r="A5" s="7"/>
      <c r="B5" s="8" t="s">
        <v>11</v>
      </c>
      <c r="C5" s="29" t="s">
        <v>12</v>
      </c>
      <c r="D5" s="29"/>
      <c r="E5" s="29"/>
      <c r="F5" s="29" t="s">
        <v>13</v>
      </c>
      <c r="G5" s="29"/>
      <c r="H5" s="10" t="s">
        <v>14</v>
      </c>
      <c r="I5" s="10" t="s">
        <v>15</v>
      </c>
      <c r="J5" s="10" t="s">
        <v>14</v>
      </c>
      <c r="K5" s="10" t="s">
        <v>15</v>
      </c>
    </row>
    <row r="6" spans="1:11" ht="64.5" customHeight="1">
      <c r="A6" s="7"/>
      <c r="B6" s="8" t="s">
        <v>16</v>
      </c>
      <c r="C6" s="30" t="s">
        <v>17</v>
      </c>
      <c r="D6" s="30"/>
      <c r="E6" s="30"/>
      <c r="F6" s="29">
        <v>27</v>
      </c>
      <c r="G6" s="29"/>
      <c r="H6" s="12">
        <v>0.3</v>
      </c>
      <c r="I6" s="12">
        <v>0.2</v>
      </c>
      <c r="J6" s="12">
        <v>0.3</v>
      </c>
      <c r="K6" s="12">
        <v>0.25</v>
      </c>
    </row>
    <row r="7" spans="1:11" ht="81" customHeight="1">
      <c r="A7" s="7"/>
      <c r="B7" s="8" t="s">
        <v>18</v>
      </c>
      <c r="C7" s="30" t="s">
        <v>19</v>
      </c>
      <c r="D7" s="30"/>
      <c r="E7" s="30"/>
      <c r="F7" s="29">
        <v>27</v>
      </c>
      <c r="G7" s="29"/>
      <c r="H7" s="12">
        <v>0.3</v>
      </c>
      <c r="I7" s="12">
        <v>0.2</v>
      </c>
      <c r="J7" s="12">
        <v>0.4</v>
      </c>
      <c r="K7" s="12">
        <v>0.25</v>
      </c>
    </row>
    <row r="8" spans="1:11" ht="53.4" customHeight="1">
      <c r="A8" s="7"/>
      <c r="B8" s="8" t="s">
        <v>20</v>
      </c>
      <c r="C8" s="31" t="s">
        <v>21</v>
      </c>
      <c r="D8" s="32"/>
      <c r="E8" s="30"/>
      <c r="F8" s="29">
        <v>8</v>
      </c>
      <c r="G8" s="29"/>
      <c r="H8" s="12">
        <v>0.1</v>
      </c>
      <c r="I8" s="12">
        <v>0.1</v>
      </c>
      <c r="J8" s="12">
        <v>0</v>
      </c>
      <c r="K8" s="12">
        <v>0</v>
      </c>
    </row>
    <row r="9" spans="1:11" ht="40.200000000000003" customHeight="1">
      <c r="A9" s="7"/>
      <c r="B9" s="8" t="s">
        <v>22</v>
      </c>
      <c r="C9" s="30" t="s">
        <v>23</v>
      </c>
      <c r="D9" s="30"/>
      <c r="E9" s="30"/>
      <c r="F9" s="29">
        <v>26</v>
      </c>
      <c r="G9" s="29"/>
      <c r="H9" s="12">
        <v>0.3</v>
      </c>
      <c r="I9" s="12">
        <v>0.5</v>
      </c>
      <c r="J9" s="12">
        <v>0.3</v>
      </c>
      <c r="K9" s="12">
        <v>0.5</v>
      </c>
    </row>
    <row r="10" spans="1:11" ht="50.4" customHeight="1">
      <c r="A10" s="7"/>
      <c r="B10" s="33" t="s">
        <v>24</v>
      </c>
      <c r="C10" s="33"/>
      <c r="D10" s="33"/>
      <c r="E10" s="34"/>
      <c r="F10" s="34"/>
      <c r="G10" s="34"/>
      <c r="H10" s="12">
        <f>SUM(H6:H9)</f>
        <v>1</v>
      </c>
      <c r="I10" s="12">
        <f>SUM(I6:I9)</f>
        <v>1</v>
      </c>
      <c r="J10" s="12">
        <f>SUM(J6:J9)</f>
        <v>1</v>
      </c>
      <c r="K10" s="12">
        <f>SUM(K6:K9)</f>
        <v>1</v>
      </c>
    </row>
    <row r="11" spans="1:11" ht="43.2" customHeight="1">
      <c r="A11" s="7"/>
      <c r="B11" s="35"/>
      <c r="C11" s="36"/>
      <c r="D11" s="36"/>
      <c r="E11" s="36"/>
      <c r="F11" s="36"/>
      <c r="G11" s="36"/>
      <c r="H11" s="36"/>
      <c r="I11" s="36"/>
      <c r="J11" s="36"/>
      <c r="K11" s="37"/>
    </row>
    <row r="12" spans="1:11" ht="31.8" customHeight="1">
      <c r="A12" s="7"/>
      <c r="B12" s="29" t="s">
        <v>25</v>
      </c>
      <c r="C12" s="29"/>
      <c r="D12" s="29"/>
      <c r="E12" s="29"/>
      <c r="F12" s="29" t="s">
        <v>26</v>
      </c>
      <c r="G12" s="29"/>
      <c r="H12" s="29"/>
      <c r="I12" s="29"/>
      <c r="J12" s="29"/>
      <c r="K12" s="29"/>
    </row>
    <row r="13" spans="1:11" ht="30" customHeight="1">
      <c r="A13" s="7"/>
      <c r="B13" s="29" t="s">
        <v>14</v>
      </c>
      <c r="C13" s="29"/>
      <c r="D13" s="11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25</v>
      </c>
      <c r="E13" s="13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考核:戊</v>
      </c>
      <c r="F13" s="38"/>
      <c r="G13" s="38"/>
      <c r="H13" s="38"/>
      <c r="I13" s="38"/>
      <c r="J13" s="38"/>
      <c r="K13" s="38"/>
    </row>
    <row r="14" spans="1:11" ht="30" customHeight="1">
      <c r="A14" s="7"/>
      <c r="B14" s="29" t="s">
        <v>15</v>
      </c>
      <c r="C14" s="29"/>
      <c r="D14" s="11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25</v>
      </c>
      <c r="E14" s="13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績效:戊</v>
      </c>
      <c r="F14" s="38"/>
      <c r="G14" s="38"/>
      <c r="H14" s="38"/>
      <c r="I14" s="38"/>
      <c r="J14" s="38"/>
      <c r="K14" s="38"/>
    </row>
    <row r="15" spans="1:11" s="14" customFormat="1" ht="19.2" customHeight="1">
      <c r="B15" s="15" t="s">
        <v>27</v>
      </c>
      <c r="C15" s="16"/>
      <c r="D15" s="16"/>
      <c r="E15" s="16"/>
      <c r="F15" s="17"/>
      <c r="G15" s="18"/>
      <c r="H15" s="5"/>
      <c r="I15" s="5"/>
      <c r="J15" s="5"/>
      <c r="K15" s="5"/>
    </row>
    <row r="16" spans="1:11" s="14" customFormat="1">
      <c r="B16" s="15" t="s">
        <v>28</v>
      </c>
      <c r="C16" s="16"/>
      <c r="D16" s="16"/>
      <c r="E16" s="16"/>
      <c r="F16" s="18"/>
      <c r="G16" s="18"/>
      <c r="H16" s="5"/>
      <c r="I16" s="5"/>
      <c r="J16" s="5"/>
      <c r="K16" s="5"/>
    </row>
    <row r="17" spans="2:11" s="14" customFormat="1">
      <c r="B17" s="15" t="s">
        <v>29</v>
      </c>
      <c r="C17" s="16"/>
      <c r="D17" s="16"/>
      <c r="E17" s="16"/>
      <c r="F17" s="18"/>
      <c r="G17" s="18"/>
      <c r="H17" s="5"/>
      <c r="I17" s="5"/>
      <c r="J17" s="5"/>
      <c r="K17" s="5"/>
    </row>
    <row r="18" spans="2:11" s="14" customFormat="1">
      <c r="B18" s="15" t="s">
        <v>30</v>
      </c>
      <c r="C18" s="16"/>
      <c r="D18" s="16"/>
      <c r="E18" s="16"/>
      <c r="F18" s="18"/>
      <c r="G18" s="18"/>
      <c r="H18" s="5"/>
      <c r="I18" s="5"/>
      <c r="J18" s="5"/>
      <c r="K18" s="5"/>
    </row>
    <row r="19" spans="2:11" s="14" customFormat="1">
      <c r="B19" s="15" t="s">
        <v>31</v>
      </c>
      <c r="C19" s="16"/>
      <c r="D19" s="16"/>
      <c r="E19" s="16"/>
      <c r="F19" s="18"/>
      <c r="G19" s="18"/>
      <c r="H19" s="5"/>
      <c r="I19" s="5"/>
      <c r="J19" s="5"/>
      <c r="K19" s="5"/>
    </row>
    <row r="20" spans="2:11" s="14" customFormat="1">
      <c r="B20" s="15" t="s">
        <v>32</v>
      </c>
      <c r="C20" s="16"/>
      <c r="D20" s="16"/>
      <c r="E20" s="16"/>
      <c r="F20" s="18"/>
      <c r="G20" s="18"/>
      <c r="H20" s="5"/>
      <c r="I20" s="5"/>
      <c r="J20" s="5"/>
      <c r="K20" s="5"/>
    </row>
    <row r="21" spans="2:11" s="14" customFormat="1">
      <c r="B21" s="15" t="s">
        <v>33</v>
      </c>
      <c r="C21" s="16"/>
      <c r="D21" s="16"/>
      <c r="E21" s="16"/>
      <c r="F21" s="18"/>
      <c r="G21" s="18"/>
      <c r="H21" s="5"/>
      <c r="I21" s="5"/>
      <c r="J21" s="5"/>
      <c r="K21" s="5"/>
    </row>
    <row r="22" spans="2:11" s="14" customFormat="1">
      <c r="B22" s="15" t="s">
        <v>34</v>
      </c>
      <c r="C22" s="16"/>
      <c r="D22" s="16"/>
      <c r="E22" s="16"/>
      <c r="F22" s="18"/>
      <c r="G22" s="18"/>
      <c r="H22" s="5"/>
      <c r="I22" s="5"/>
      <c r="J22" s="5"/>
      <c r="K22" s="5"/>
    </row>
    <row r="23" spans="2:11" s="14" customFormat="1">
      <c r="B23" s="15"/>
      <c r="C23" s="16"/>
      <c r="D23" s="16"/>
      <c r="E23" s="16"/>
      <c r="F23" s="18"/>
      <c r="G23" s="18"/>
      <c r="H23" s="5"/>
      <c r="I23" s="5"/>
      <c r="J23" s="5"/>
      <c r="K23" s="5"/>
    </row>
    <row r="24" spans="2:11">
      <c r="B24" s="19"/>
    </row>
    <row r="25" spans="2:11">
      <c r="B25" s="19"/>
    </row>
  </sheetData>
  <sheetProtection algorithmName="SHA-512" hashValue="OG7yWK80DdPK3TQwjI3PaNQK+bJsoDVL8H3S5hD1CDK+7GphyYGSphIMHhYKiKEpNWn7jc4sy8IGs4DMkSWifg==" saltValue="4SwpJakn5J/PkUzSOWhRUA==" spinCount="100000" sheet="1" objects="1" scenarios="1" selectLockedCells="1"/>
  <mergeCells count="26">
    <mergeCell ref="B13:C13"/>
    <mergeCell ref="F13:K13"/>
    <mergeCell ref="B14:C14"/>
    <mergeCell ref="F14:K14"/>
    <mergeCell ref="C9:E9"/>
    <mergeCell ref="F9:G9"/>
    <mergeCell ref="B10:G10"/>
    <mergeCell ref="B11:K11"/>
    <mergeCell ref="B12:E12"/>
    <mergeCell ref="F12:K12"/>
    <mergeCell ref="C6:E6"/>
    <mergeCell ref="F6:G6"/>
    <mergeCell ref="C7:E7"/>
    <mergeCell ref="F7:G7"/>
    <mergeCell ref="C8:E8"/>
    <mergeCell ref="F8:G8"/>
    <mergeCell ref="C4:G4"/>
    <mergeCell ref="H4:I4"/>
    <mergeCell ref="J4:K4"/>
    <mergeCell ref="C5:E5"/>
    <mergeCell ref="F5:G5"/>
    <mergeCell ref="B1:K1"/>
    <mergeCell ref="C2:E2"/>
    <mergeCell ref="F2:G2"/>
    <mergeCell ref="H2:K2"/>
    <mergeCell ref="C3:K3"/>
  </mergeCells>
  <phoneticPr fontId="10" type="noConversion"/>
  <dataValidations count="2">
    <dataValidation type="whole" allowBlank="1" showInputMessage="1" showErrorMessage="1" error="請輸入0-100之間" prompt="請輸入0-100之間" sqref="F6" xr:uid="{000E0067-00A6-4554-9B89-006E00C100F9}">
      <formula1>0</formula1>
      <formula2>100</formula2>
    </dataValidation>
    <dataValidation type="whole" allowBlank="1" showInputMessage="1" showErrorMessage="1" error="請輸入0-100之間" sqref="F7:F9" xr:uid="{00AC008B-001C-4BC0-9790-00F10055005C}">
      <formula1>0</formula1>
      <formula2>100</formula2>
    </dataValidation>
  </dataValidations>
  <printOptions horizontalCentered="1"/>
  <pageMargins left="3.937007874015748E-2" right="3.937007874015748E-2" top="0.55118110236220474" bottom="0.74803149606299213" header="0.31496062992125984" footer="0.31496062992125984"/>
  <pageSetup paperSize="9" orientation="portrait" useFirstPageNumber="1" horizontalDpi="2147483648" verticalDpi="214748364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5"/>
  <sheetViews>
    <sheetView topLeftCell="B5" workbookViewId="0">
      <selection activeCell="C3" sqref="C3"/>
    </sheetView>
  </sheetViews>
  <sheetFormatPr defaultColWidth="11.19921875" defaultRowHeight="14.4"/>
  <cols>
    <col min="1" max="1" width="9.765625E-2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2" width="11.19921875" style="1" customWidth="1"/>
    <col min="13" max="16384" width="11.19921875" style="1"/>
  </cols>
  <sheetData>
    <row r="1" spans="1:11" s="6" customFormat="1" ht="36.6" customHeight="1">
      <c r="A1" s="7"/>
      <c r="B1" s="20" t="s">
        <v>0</v>
      </c>
      <c r="C1" s="21"/>
      <c r="D1" s="21"/>
      <c r="E1" s="21"/>
      <c r="F1" s="21"/>
      <c r="G1" s="21"/>
      <c r="H1" s="21"/>
      <c r="I1" s="21"/>
      <c r="J1" s="21"/>
      <c r="K1" s="22"/>
    </row>
    <row r="2" spans="1:11" ht="35.25" customHeight="1">
      <c r="A2" s="7"/>
      <c r="B2" s="8" t="s">
        <v>1</v>
      </c>
      <c r="C2" s="23" t="s">
        <v>41</v>
      </c>
      <c r="D2" s="23"/>
      <c r="E2" s="23"/>
      <c r="F2" s="23" t="s">
        <v>3</v>
      </c>
      <c r="G2" s="23"/>
      <c r="H2" s="23" t="s">
        <v>42</v>
      </c>
      <c r="I2" s="23"/>
      <c r="J2" s="23"/>
      <c r="K2" s="23"/>
    </row>
    <row r="3" spans="1:11" ht="58.8" customHeight="1">
      <c r="A3" s="7"/>
      <c r="B3" s="9" t="s">
        <v>5</v>
      </c>
      <c r="C3" s="24" t="s">
        <v>43</v>
      </c>
      <c r="D3" s="25"/>
      <c r="E3" s="25"/>
      <c r="F3" s="25"/>
      <c r="G3" s="25"/>
      <c r="H3" s="25"/>
      <c r="I3" s="25"/>
      <c r="J3" s="25"/>
      <c r="K3" s="26"/>
    </row>
    <row r="4" spans="1:11" ht="35.25" customHeight="1">
      <c r="A4" s="7"/>
      <c r="B4" s="9" t="s">
        <v>7</v>
      </c>
      <c r="C4" s="27" t="s">
        <v>8</v>
      </c>
      <c r="D4" s="27"/>
      <c r="E4" s="27"/>
      <c r="F4" s="27"/>
      <c r="G4" s="27"/>
      <c r="H4" s="28" t="s">
        <v>9</v>
      </c>
      <c r="I4" s="28"/>
      <c r="J4" s="28" t="s">
        <v>10</v>
      </c>
      <c r="K4" s="28"/>
    </row>
    <row r="5" spans="1:11" ht="30" customHeight="1">
      <c r="A5" s="7"/>
      <c r="B5" s="8" t="s">
        <v>11</v>
      </c>
      <c r="C5" s="29" t="s">
        <v>12</v>
      </c>
      <c r="D5" s="29"/>
      <c r="E5" s="29"/>
      <c r="F5" s="29" t="s">
        <v>13</v>
      </c>
      <c r="G5" s="29"/>
      <c r="H5" s="10" t="s">
        <v>14</v>
      </c>
      <c r="I5" s="10" t="s">
        <v>15</v>
      </c>
      <c r="J5" s="10" t="s">
        <v>14</v>
      </c>
      <c r="K5" s="10" t="s">
        <v>15</v>
      </c>
    </row>
    <row r="6" spans="1:11" ht="64.5" customHeight="1">
      <c r="A6" s="7"/>
      <c r="B6" s="8" t="s">
        <v>16</v>
      </c>
      <c r="C6" s="30" t="s">
        <v>17</v>
      </c>
      <c r="D6" s="30"/>
      <c r="E6" s="30"/>
      <c r="F6" s="29">
        <v>27</v>
      </c>
      <c r="G6" s="29"/>
      <c r="H6" s="12">
        <v>0.3</v>
      </c>
      <c r="I6" s="12">
        <v>0.2</v>
      </c>
      <c r="J6" s="12">
        <v>0.3</v>
      </c>
      <c r="K6" s="12">
        <v>0.25</v>
      </c>
    </row>
    <row r="7" spans="1:11" ht="81" customHeight="1">
      <c r="A7" s="7"/>
      <c r="B7" s="8" t="s">
        <v>18</v>
      </c>
      <c r="C7" s="30" t="s">
        <v>19</v>
      </c>
      <c r="D7" s="30"/>
      <c r="E7" s="30"/>
      <c r="F7" s="29">
        <v>28</v>
      </c>
      <c r="G7" s="29"/>
      <c r="H7" s="12">
        <v>0.3</v>
      </c>
      <c r="I7" s="12">
        <v>0.2</v>
      </c>
      <c r="J7" s="12">
        <v>0.4</v>
      </c>
      <c r="K7" s="12">
        <v>0.25</v>
      </c>
    </row>
    <row r="8" spans="1:11" ht="53.4" customHeight="1">
      <c r="A8" s="7"/>
      <c r="B8" s="8" t="s">
        <v>20</v>
      </c>
      <c r="C8" s="31" t="s">
        <v>21</v>
      </c>
      <c r="D8" s="32"/>
      <c r="E8" s="30"/>
      <c r="F8" s="29">
        <v>8</v>
      </c>
      <c r="G8" s="29"/>
      <c r="H8" s="12">
        <v>0.1</v>
      </c>
      <c r="I8" s="12">
        <v>0.1</v>
      </c>
      <c r="J8" s="12">
        <v>0</v>
      </c>
      <c r="K8" s="12">
        <v>0</v>
      </c>
    </row>
    <row r="9" spans="1:11" ht="40.200000000000003" customHeight="1">
      <c r="A9" s="7"/>
      <c r="B9" s="8" t="s">
        <v>22</v>
      </c>
      <c r="C9" s="30" t="s">
        <v>23</v>
      </c>
      <c r="D9" s="30"/>
      <c r="E9" s="30"/>
      <c r="F9" s="29">
        <v>27</v>
      </c>
      <c r="G9" s="29"/>
      <c r="H9" s="12">
        <v>0.3</v>
      </c>
      <c r="I9" s="12">
        <v>0.5</v>
      </c>
      <c r="J9" s="12">
        <v>0.3</v>
      </c>
      <c r="K9" s="12">
        <v>0.5</v>
      </c>
    </row>
    <row r="10" spans="1:11" ht="50.4" customHeight="1">
      <c r="A10" s="7"/>
      <c r="B10" s="33" t="s">
        <v>24</v>
      </c>
      <c r="C10" s="33"/>
      <c r="D10" s="33"/>
      <c r="E10" s="34"/>
      <c r="F10" s="34"/>
      <c r="G10" s="34"/>
      <c r="H10" s="12">
        <f>SUM(H6:H9)</f>
        <v>1</v>
      </c>
      <c r="I10" s="12">
        <f>SUM(I6:I9)</f>
        <v>1</v>
      </c>
      <c r="J10" s="12">
        <f>SUM(J6:J9)</f>
        <v>1</v>
      </c>
      <c r="K10" s="12">
        <f>SUM(K6:K9)</f>
        <v>1</v>
      </c>
    </row>
    <row r="11" spans="1:11" ht="43.2" customHeight="1">
      <c r="A11" s="7"/>
      <c r="B11" s="35"/>
      <c r="C11" s="36"/>
      <c r="D11" s="36"/>
      <c r="E11" s="36"/>
      <c r="F11" s="36"/>
      <c r="G11" s="36"/>
      <c r="H11" s="36"/>
      <c r="I11" s="36"/>
      <c r="J11" s="36"/>
      <c r="K11" s="37"/>
    </row>
    <row r="12" spans="1:11" ht="31.8" customHeight="1">
      <c r="A12" s="7"/>
      <c r="B12" s="29" t="s">
        <v>25</v>
      </c>
      <c r="C12" s="29"/>
      <c r="D12" s="29"/>
      <c r="E12" s="29"/>
      <c r="F12" s="29" t="s">
        <v>26</v>
      </c>
      <c r="G12" s="29"/>
      <c r="H12" s="29"/>
      <c r="I12" s="29"/>
      <c r="J12" s="29"/>
      <c r="K12" s="29"/>
    </row>
    <row r="13" spans="1:11" ht="30" customHeight="1">
      <c r="A13" s="7"/>
      <c r="B13" s="29" t="s">
        <v>14</v>
      </c>
      <c r="C13" s="29"/>
      <c r="D13" s="11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25</v>
      </c>
      <c r="E13" s="13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考核:戊</v>
      </c>
      <c r="F13" s="38"/>
      <c r="G13" s="38"/>
      <c r="H13" s="38"/>
      <c r="I13" s="38"/>
      <c r="J13" s="38"/>
      <c r="K13" s="38"/>
    </row>
    <row r="14" spans="1:11" ht="30" customHeight="1">
      <c r="A14" s="7"/>
      <c r="B14" s="29" t="s">
        <v>15</v>
      </c>
      <c r="C14" s="29"/>
      <c r="D14" s="11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25</v>
      </c>
      <c r="E14" s="13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績效:戊</v>
      </c>
      <c r="F14" s="38"/>
      <c r="G14" s="38"/>
      <c r="H14" s="38"/>
      <c r="I14" s="38"/>
      <c r="J14" s="38"/>
      <c r="K14" s="38"/>
    </row>
    <row r="15" spans="1:11" s="14" customFormat="1" ht="19.2" customHeight="1">
      <c r="B15" s="15" t="s">
        <v>27</v>
      </c>
      <c r="C15" s="16"/>
      <c r="D15" s="16"/>
      <c r="E15" s="16"/>
      <c r="F15" s="17"/>
      <c r="G15" s="18"/>
      <c r="H15" s="5"/>
      <c r="I15" s="5"/>
      <c r="J15" s="5"/>
      <c r="K15" s="5"/>
    </row>
    <row r="16" spans="1:11" s="14" customFormat="1">
      <c r="B16" s="15" t="s">
        <v>28</v>
      </c>
      <c r="C16" s="16"/>
      <c r="D16" s="16"/>
      <c r="E16" s="16"/>
      <c r="F16" s="18"/>
      <c r="G16" s="18"/>
      <c r="H16" s="5"/>
      <c r="I16" s="5"/>
      <c r="J16" s="5"/>
      <c r="K16" s="5"/>
    </row>
    <row r="17" spans="2:11" s="14" customFormat="1">
      <c r="B17" s="15" t="s">
        <v>29</v>
      </c>
      <c r="C17" s="16"/>
      <c r="D17" s="16"/>
      <c r="E17" s="16"/>
      <c r="F17" s="18"/>
      <c r="G17" s="18"/>
      <c r="H17" s="5"/>
      <c r="I17" s="5"/>
      <c r="J17" s="5"/>
      <c r="K17" s="5"/>
    </row>
    <row r="18" spans="2:11" s="14" customFormat="1">
      <c r="B18" s="15" t="s">
        <v>30</v>
      </c>
      <c r="C18" s="16"/>
      <c r="D18" s="16"/>
      <c r="E18" s="16"/>
      <c r="F18" s="18"/>
      <c r="G18" s="18"/>
      <c r="H18" s="5"/>
      <c r="I18" s="5"/>
      <c r="J18" s="5"/>
      <c r="K18" s="5"/>
    </row>
    <row r="19" spans="2:11" s="14" customFormat="1">
      <c r="B19" s="15" t="s">
        <v>31</v>
      </c>
      <c r="C19" s="16"/>
      <c r="D19" s="16"/>
      <c r="E19" s="16"/>
      <c r="F19" s="18"/>
      <c r="G19" s="18"/>
      <c r="H19" s="5"/>
      <c r="I19" s="5"/>
      <c r="J19" s="5"/>
      <c r="K19" s="5"/>
    </row>
    <row r="20" spans="2:11" s="14" customFormat="1">
      <c r="B20" s="15" t="s">
        <v>32</v>
      </c>
      <c r="C20" s="16"/>
      <c r="D20" s="16"/>
      <c r="E20" s="16"/>
      <c r="F20" s="18"/>
      <c r="G20" s="18"/>
      <c r="H20" s="5"/>
      <c r="I20" s="5"/>
      <c r="J20" s="5"/>
      <c r="K20" s="5"/>
    </row>
    <row r="21" spans="2:11" s="14" customFormat="1">
      <c r="B21" s="15" t="s">
        <v>33</v>
      </c>
      <c r="C21" s="16"/>
      <c r="D21" s="16"/>
      <c r="E21" s="16"/>
      <c r="F21" s="18"/>
      <c r="G21" s="18"/>
      <c r="H21" s="5"/>
      <c r="I21" s="5"/>
      <c r="J21" s="5"/>
      <c r="K21" s="5"/>
    </row>
    <row r="22" spans="2:11" s="14" customFormat="1">
      <c r="B22" s="15" t="s">
        <v>34</v>
      </c>
      <c r="C22" s="16"/>
      <c r="D22" s="16"/>
      <c r="E22" s="16"/>
      <c r="F22" s="18"/>
      <c r="G22" s="18"/>
      <c r="H22" s="5"/>
      <c r="I22" s="5"/>
      <c r="J22" s="5"/>
      <c r="K22" s="5"/>
    </row>
    <row r="23" spans="2:11" s="14" customFormat="1">
      <c r="B23" s="15"/>
      <c r="C23" s="16"/>
      <c r="D23" s="16"/>
      <c r="E23" s="16"/>
      <c r="F23" s="18"/>
      <c r="G23" s="18"/>
      <c r="H23" s="5"/>
      <c r="I23" s="5"/>
      <c r="J23" s="5"/>
      <c r="K23" s="5"/>
    </row>
    <row r="24" spans="2:11">
      <c r="B24" s="19"/>
    </row>
    <row r="25" spans="2:11">
      <c r="B25" s="19"/>
    </row>
  </sheetData>
  <sheetProtection algorithmName="SHA-512" hashValue="OG7yWK80DdPK3TQwjI3PaNQK+bJsoDVL8H3S5hD1CDK+7GphyYGSphIMHhYKiKEpNWn7jc4sy8IGs4DMkSWifg==" saltValue="4SwpJakn5J/PkUzSOWhRUA==" spinCount="100000" sheet="1" objects="1" scenarios="1" selectLockedCells="1"/>
  <mergeCells count="26">
    <mergeCell ref="B13:C13"/>
    <mergeCell ref="F13:K13"/>
    <mergeCell ref="B14:C14"/>
    <mergeCell ref="F14:K14"/>
    <mergeCell ref="C9:E9"/>
    <mergeCell ref="F9:G9"/>
    <mergeCell ref="B10:G10"/>
    <mergeCell ref="B11:K11"/>
    <mergeCell ref="B12:E12"/>
    <mergeCell ref="F12:K12"/>
    <mergeCell ref="C6:E6"/>
    <mergeCell ref="F6:G6"/>
    <mergeCell ref="C7:E7"/>
    <mergeCell ref="F7:G7"/>
    <mergeCell ref="C8:E8"/>
    <mergeCell ref="F8:G8"/>
    <mergeCell ref="C4:G4"/>
    <mergeCell ref="H4:I4"/>
    <mergeCell ref="J4:K4"/>
    <mergeCell ref="C5:E5"/>
    <mergeCell ref="F5:G5"/>
    <mergeCell ref="B1:K1"/>
    <mergeCell ref="C2:E2"/>
    <mergeCell ref="F2:G2"/>
    <mergeCell ref="H2:K2"/>
    <mergeCell ref="C3:K3"/>
  </mergeCells>
  <phoneticPr fontId="10" type="noConversion"/>
  <dataValidations count="2">
    <dataValidation type="whole" allowBlank="1" showInputMessage="1" showErrorMessage="1" error="請輸入0-100之間" prompt="請輸入0-100之間" sqref="F6" xr:uid="{000200ED-00EF-4C12-9127-00A60031005A}">
      <formula1>0</formula1>
      <formula2>100</formula2>
    </dataValidation>
    <dataValidation type="whole" allowBlank="1" showInputMessage="1" showErrorMessage="1" error="請輸入0-100之間" sqref="F7:F9" xr:uid="{000C00F0-00DC-4D13-BEBF-00F900F300EE}">
      <formula1>0</formula1>
      <formula2>100</formula2>
    </dataValidation>
  </dataValidations>
  <printOptions horizontalCentered="1"/>
  <pageMargins left="3.937007874015748E-2" right="3.937007874015748E-2" top="0.55118110236220474" bottom="0.74803149606299213" header="0.31496062992125984" footer="0.31496062992125984"/>
  <pageSetup paperSize="9" orientation="portrait" useFirstPageNumber="1" horizontalDpi="2147483648" verticalDpi="2147483648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5"/>
  <sheetViews>
    <sheetView topLeftCell="B1" workbookViewId="0">
      <selection activeCell="C3" sqref="C3"/>
    </sheetView>
  </sheetViews>
  <sheetFormatPr defaultColWidth="11.19921875" defaultRowHeight="14.4"/>
  <cols>
    <col min="1" max="1" width="9.765625E-2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2" width="11.19921875" style="1" customWidth="1"/>
    <col min="13" max="16384" width="11.19921875" style="1"/>
  </cols>
  <sheetData>
    <row r="1" spans="1:11" s="6" customFormat="1" ht="36.6" customHeight="1">
      <c r="A1" s="7"/>
      <c r="B1" s="20" t="s">
        <v>0</v>
      </c>
      <c r="C1" s="21"/>
      <c r="D1" s="21"/>
      <c r="E1" s="21"/>
      <c r="F1" s="21"/>
      <c r="G1" s="21"/>
      <c r="H1" s="21"/>
      <c r="I1" s="21"/>
      <c r="J1" s="21"/>
      <c r="K1" s="22"/>
    </row>
    <row r="2" spans="1:11" ht="35.25" customHeight="1">
      <c r="A2" s="7"/>
      <c r="B2" s="8" t="s">
        <v>1</v>
      </c>
      <c r="C2" s="23" t="s">
        <v>44</v>
      </c>
      <c r="D2" s="23"/>
      <c r="E2" s="23"/>
      <c r="F2" s="23" t="s">
        <v>3</v>
      </c>
      <c r="G2" s="23"/>
      <c r="H2" s="23" t="s">
        <v>45</v>
      </c>
      <c r="I2" s="23"/>
      <c r="J2" s="23"/>
      <c r="K2" s="23"/>
    </row>
    <row r="3" spans="1:11" ht="58.8" customHeight="1">
      <c r="A3" s="7"/>
      <c r="B3" s="9" t="s">
        <v>5</v>
      </c>
      <c r="C3" s="24" t="s">
        <v>43</v>
      </c>
      <c r="D3" s="25"/>
      <c r="E3" s="25"/>
      <c r="F3" s="25"/>
      <c r="G3" s="25"/>
      <c r="H3" s="25"/>
      <c r="I3" s="25"/>
      <c r="J3" s="25"/>
      <c r="K3" s="26"/>
    </row>
    <row r="4" spans="1:11" ht="35.25" customHeight="1">
      <c r="A4" s="7"/>
      <c r="B4" s="9" t="s">
        <v>7</v>
      </c>
      <c r="C4" s="27" t="s">
        <v>8</v>
      </c>
      <c r="D4" s="27"/>
      <c r="E4" s="27"/>
      <c r="F4" s="27"/>
      <c r="G4" s="27"/>
      <c r="H4" s="28" t="s">
        <v>9</v>
      </c>
      <c r="I4" s="28"/>
      <c r="J4" s="28" t="s">
        <v>10</v>
      </c>
      <c r="K4" s="28"/>
    </row>
    <row r="5" spans="1:11" ht="30" customHeight="1">
      <c r="A5" s="7"/>
      <c r="B5" s="8" t="s">
        <v>11</v>
      </c>
      <c r="C5" s="29" t="s">
        <v>12</v>
      </c>
      <c r="D5" s="29"/>
      <c r="E5" s="29"/>
      <c r="F5" s="29" t="s">
        <v>13</v>
      </c>
      <c r="G5" s="29"/>
      <c r="H5" s="10" t="s">
        <v>14</v>
      </c>
      <c r="I5" s="10" t="s">
        <v>15</v>
      </c>
      <c r="J5" s="10" t="s">
        <v>14</v>
      </c>
      <c r="K5" s="10" t="s">
        <v>15</v>
      </c>
    </row>
    <row r="6" spans="1:11" ht="64.5" customHeight="1">
      <c r="A6" s="7"/>
      <c r="B6" s="8" t="s">
        <v>16</v>
      </c>
      <c r="C6" s="30" t="s">
        <v>17</v>
      </c>
      <c r="D6" s="30"/>
      <c r="E6" s="30"/>
      <c r="F6" s="29">
        <v>25</v>
      </c>
      <c r="G6" s="29"/>
      <c r="H6" s="12">
        <v>0.3</v>
      </c>
      <c r="I6" s="12">
        <v>0.2</v>
      </c>
      <c r="J6" s="12">
        <v>0.3</v>
      </c>
      <c r="K6" s="12">
        <v>0.25</v>
      </c>
    </row>
    <row r="7" spans="1:11" ht="81" customHeight="1">
      <c r="A7" s="7"/>
      <c r="B7" s="8" t="s">
        <v>18</v>
      </c>
      <c r="C7" s="30" t="s">
        <v>19</v>
      </c>
      <c r="D7" s="30"/>
      <c r="E7" s="30"/>
      <c r="F7" s="29">
        <v>26</v>
      </c>
      <c r="G7" s="29"/>
      <c r="H7" s="12">
        <v>0.3</v>
      </c>
      <c r="I7" s="12">
        <v>0.2</v>
      </c>
      <c r="J7" s="12">
        <v>0.4</v>
      </c>
      <c r="K7" s="12">
        <v>0.25</v>
      </c>
    </row>
    <row r="8" spans="1:11" ht="53.4" customHeight="1">
      <c r="A8" s="7"/>
      <c r="B8" s="8" t="s">
        <v>20</v>
      </c>
      <c r="C8" s="31" t="s">
        <v>21</v>
      </c>
      <c r="D8" s="32"/>
      <c r="E8" s="30"/>
      <c r="F8" s="29">
        <v>8</v>
      </c>
      <c r="G8" s="29"/>
      <c r="H8" s="12">
        <v>0.1</v>
      </c>
      <c r="I8" s="12">
        <v>0.1</v>
      </c>
      <c r="J8" s="12">
        <v>0</v>
      </c>
      <c r="K8" s="12">
        <v>0</v>
      </c>
    </row>
    <row r="9" spans="1:11" ht="40.200000000000003" customHeight="1">
      <c r="A9" s="7"/>
      <c r="B9" s="8" t="s">
        <v>22</v>
      </c>
      <c r="C9" s="30" t="s">
        <v>23</v>
      </c>
      <c r="D9" s="30"/>
      <c r="E9" s="30"/>
      <c r="F9" s="29">
        <v>26</v>
      </c>
      <c r="G9" s="29"/>
      <c r="H9" s="12">
        <v>0.3</v>
      </c>
      <c r="I9" s="12">
        <v>0.5</v>
      </c>
      <c r="J9" s="12">
        <v>0.3</v>
      </c>
      <c r="K9" s="12">
        <v>0.5</v>
      </c>
    </row>
    <row r="10" spans="1:11" ht="50.4" customHeight="1">
      <c r="A10" s="7"/>
      <c r="B10" s="33" t="s">
        <v>24</v>
      </c>
      <c r="C10" s="33"/>
      <c r="D10" s="33"/>
      <c r="E10" s="34"/>
      <c r="F10" s="34"/>
      <c r="G10" s="34"/>
      <c r="H10" s="12">
        <f>SUM(H6:H9)</f>
        <v>1</v>
      </c>
      <c r="I10" s="12">
        <f>SUM(I6:I9)</f>
        <v>1</v>
      </c>
      <c r="J10" s="12">
        <f>SUM(J6:J9)</f>
        <v>1</v>
      </c>
      <c r="K10" s="12">
        <f>SUM(K6:K9)</f>
        <v>1</v>
      </c>
    </row>
    <row r="11" spans="1:11" ht="43.2" customHeight="1">
      <c r="A11" s="7"/>
      <c r="B11" s="35"/>
      <c r="C11" s="36"/>
      <c r="D11" s="36"/>
      <c r="E11" s="36"/>
      <c r="F11" s="36"/>
      <c r="G11" s="36"/>
      <c r="H11" s="36"/>
      <c r="I11" s="36"/>
      <c r="J11" s="36"/>
      <c r="K11" s="37"/>
    </row>
    <row r="12" spans="1:11" ht="31.8" customHeight="1">
      <c r="A12" s="7"/>
      <c r="B12" s="29" t="s">
        <v>25</v>
      </c>
      <c r="C12" s="29"/>
      <c r="D12" s="29"/>
      <c r="E12" s="29"/>
      <c r="F12" s="29" t="s">
        <v>26</v>
      </c>
      <c r="G12" s="29"/>
      <c r="H12" s="29"/>
      <c r="I12" s="29"/>
      <c r="J12" s="29"/>
      <c r="K12" s="29"/>
    </row>
    <row r="13" spans="1:11" ht="30" customHeight="1">
      <c r="A13" s="7"/>
      <c r="B13" s="29" t="s">
        <v>14</v>
      </c>
      <c r="C13" s="29"/>
      <c r="D13" s="11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24</v>
      </c>
      <c r="E13" s="13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考核:戊</v>
      </c>
      <c r="F13" s="38"/>
      <c r="G13" s="38"/>
      <c r="H13" s="38"/>
      <c r="I13" s="38"/>
      <c r="J13" s="38"/>
      <c r="K13" s="38"/>
    </row>
    <row r="14" spans="1:11" ht="30" customHeight="1">
      <c r="A14" s="7"/>
      <c r="B14" s="29" t="s">
        <v>15</v>
      </c>
      <c r="C14" s="29"/>
      <c r="D14" s="11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24</v>
      </c>
      <c r="E14" s="13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績效:戊</v>
      </c>
      <c r="F14" s="38"/>
      <c r="G14" s="38"/>
      <c r="H14" s="38"/>
      <c r="I14" s="38"/>
      <c r="J14" s="38"/>
      <c r="K14" s="38"/>
    </row>
    <row r="15" spans="1:11" s="14" customFormat="1" ht="19.2" customHeight="1">
      <c r="B15" s="15" t="s">
        <v>27</v>
      </c>
      <c r="C15" s="16"/>
      <c r="D15" s="16"/>
      <c r="E15" s="16"/>
      <c r="F15" s="17"/>
      <c r="G15" s="18"/>
      <c r="H15" s="5"/>
      <c r="I15" s="5"/>
      <c r="J15" s="5"/>
      <c r="K15" s="5"/>
    </row>
    <row r="16" spans="1:11" s="14" customFormat="1">
      <c r="B16" s="15" t="s">
        <v>28</v>
      </c>
      <c r="C16" s="16"/>
      <c r="D16" s="16"/>
      <c r="E16" s="16"/>
      <c r="F16" s="18"/>
      <c r="G16" s="18"/>
      <c r="H16" s="5"/>
      <c r="I16" s="5"/>
      <c r="J16" s="5"/>
      <c r="K16" s="5"/>
    </row>
    <row r="17" spans="2:11" s="14" customFormat="1">
      <c r="B17" s="15" t="s">
        <v>29</v>
      </c>
      <c r="C17" s="16"/>
      <c r="D17" s="16"/>
      <c r="E17" s="16"/>
      <c r="F17" s="18"/>
      <c r="G17" s="18"/>
      <c r="H17" s="5"/>
      <c r="I17" s="5"/>
      <c r="J17" s="5"/>
      <c r="K17" s="5"/>
    </row>
    <row r="18" spans="2:11" s="14" customFormat="1">
      <c r="B18" s="15" t="s">
        <v>30</v>
      </c>
      <c r="C18" s="16"/>
      <c r="D18" s="16"/>
      <c r="E18" s="16"/>
      <c r="F18" s="18"/>
      <c r="G18" s="18"/>
      <c r="H18" s="5"/>
      <c r="I18" s="5"/>
      <c r="J18" s="5"/>
      <c r="K18" s="5"/>
    </row>
    <row r="19" spans="2:11" s="14" customFormat="1">
      <c r="B19" s="15" t="s">
        <v>31</v>
      </c>
      <c r="C19" s="16"/>
      <c r="D19" s="16"/>
      <c r="E19" s="16"/>
      <c r="F19" s="18"/>
      <c r="G19" s="18"/>
      <c r="H19" s="5"/>
      <c r="I19" s="5"/>
      <c r="J19" s="5"/>
      <c r="K19" s="5"/>
    </row>
    <row r="20" spans="2:11" s="14" customFormat="1">
      <c r="B20" s="15" t="s">
        <v>32</v>
      </c>
      <c r="C20" s="16"/>
      <c r="D20" s="16"/>
      <c r="E20" s="16"/>
      <c r="F20" s="18"/>
      <c r="G20" s="18"/>
      <c r="H20" s="5"/>
      <c r="I20" s="5"/>
      <c r="J20" s="5"/>
      <c r="K20" s="5"/>
    </row>
    <row r="21" spans="2:11" s="14" customFormat="1">
      <c r="B21" s="15" t="s">
        <v>33</v>
      </c>
      <c r="C21" s="16"/>
      <c r="D21" s="16"/>
      <c r="E21" s="16"/>
      <c r="F21" s="18"/>
      <c r="G21" s="18"/>
      <c r="H21" s="5"/>
      <c r="I21" s="5"/>
      <c r="J21" s="5"/>
      <c r="K21" s="5"/>
    </row>
    <row r="22" spans="2:11" s="14" customFormat="1">
      <c r="B22" s="15" t="s">
        <v>34</v>
      </c>
      <c r="C22" s="16"/>
      <c r="D22" s="16"/>
      <c r="E22" s="16"/>
      <c r="F22" s="18"/>
      <c r="G22" s="18"/>
      <c r="H22" s="5"/>
      <c r="I22" s="5"/>
      <c r="J22" s="5"/>
      <c r="K22" s="5"/>
    </row>
    <row r="23" spans="2:11" s="14" customFormat="1">
      <c r="B23" s="15"/>
      <c r="C23" s="16"/>
      <c r="D23" s="16"/>
      <c r="E23" s="16"/>
      <c r="F23" s="18"/>
      <c r="G23" s="18"/>
      <c r="H23" s="5"/>
      <c r="I23" s="5"/>
      <c r="J23" s="5"/>
      <c r="K23" s="5"/>
    </row>
    <row r="24" spans="2:11">
      <c r="B24" s="19"/>
    </row>
    <row r="25" spans="2:11">
      <c r="B25" s="19"/>
    </row>
  </sheetData>
  <sheetProtection algorithmName="SHA-512" hashValue="OG7yWK80DdPK3TQwjI3PaNQK+bJsoDVL8H3S5hD1CDK+7GphyYGSphIMHhYKiKEpNWn7jc4sy8IGs4DMkSWifg==" saltValue="4SwpJakn5J/PkUzSOWhRUA==" spinCount="100000" sheet="1" objects="1" scenarios="1" selectLockedCells="1"/>
  <mergeCells count="26">
    <mergeCell ref="B13:C13"/>
    <mergeCell ref="F13:K13"/>
    <mergeCell ref="B14:C14"/>
    <mergeCell ref="F14:K14"/>
    <mergeCell ref="C9:E9"/>
    <mergeCell ref="F9:G9"/>
    <mergeCell ref="B10:G10"/>
    <mergeCell ref="B11:K11"/>
    <mergeCell ref="B12:E12"/>
    <mergeCell ref="F12:K12"/>
    <mergeCell ref="C6:E6"/>
    <mergeCell ref="F6:G6"/>
    <mergeCell ref="C7:E7"/>
    <mergeCell ref="F7:G7"/>
    <mergeCell ref="C8:E8"/>
    <mergeCell ref="F8:G8"/>
    <mergeCell ref="C4:G4"/>
    <mergeCell ref="H4:I4"/>
    <mergeCell ref="J4:K4"/>
    <mergeCell ref="C5:E5"/>
    <mergeCell ref="F5:G5"/>
    <mergeCell ref="B1:K1"/>
    <mergeCell ref="C2:E2"/>
    <mergeCell ref="F2:G2"/>
    <mergeCell ref="H2:K2"/>
    <mergeCell ref="C3:K3"/>
  </mergeCells>
  <phoneticPr fontId="10" type="noConversion"/>
  <dataValidations count="2">
    <dataValidation type="whole" allowBlank="1" showInputMessage="1" showErrorMessage="1" error="請輸入0-100之間" prompt="請輸入0-100之間" sqref="F6" xr:uid="{00600000-0004-4404-BC81-009D005E009D}">
      <formula1>0</formula1>
      <formula2>100</formula2>
    </dataValidation>
    <dataValidation type="whole" allowBlank="1" showInputMessage="1" showErrorMessage="1" error="請輸入0-100之間" sqref="F7:F9" xr:uid="{006700C5-009C-400D-827B-001100F10059}">
      <formula1>0</formula1>
      <formula2>100</formula2>
    </dataValidation>
  </dataValidations>
  <printOptions horizontalCentered="1"/>
  <pageMargins left="3.937007874015748E-2" right="3.937007874015748E-2" top="0.55118110236220474" bottom="0.74803149606299213" header="0.31496062992125984" footer="0.31496062992125984"/>
  <pageSetup paperSize="9" orientation="portrait" useFirstPageNumber="1" horizontalDpi="2147483648" verticalDpi="2147483648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5"/>
  <sheetViews>
    <sheetView topLeftCell="B9" workbookViewId="0">
      <selection activeCell="C3" sqref="C3"/>
    </sheetView>
  </sheetViews>
  <sheetFormatPr defaultColWidth="11.19921875" defaultRowHeight="14.4"/>
  <cols>
    <col min="1" max="1" width="9.765625E-2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2" width="11.19921875" style="1" customWidth="1"/>
    <col min="13" max="16384" width="11.19921875" style="1"/>
  </cols>
  <sheetData>
    <row r="1" spans="1:11" s="6" customFormat="1" ht="36.6" customHeight="1">
      <c r="A1" s="7"/>
      <c r="B1" s="20" t="s">
        <v>0</v>
      </c>
      <c r="C1" s="21"/>
      <c r="D1" s="21"/>
      <c r="E1" s="21"/>
      <c r="F1" s="21"/>
      <c r="G1" s="21"/>
      <c r="H1" s="21"/>
      <c r="I1" s="21"/>
      <c r="J1" s="21"/>
      <c r="K1" s="22"/>
    </row>
    <row r="2" spans="1:11" ht="35.25" customHeight="1">
      <c r="A2" s="7"/>
      <c r="B2" s="8" t="s">
        <v>1</v>
      </c>
      <c r="C2" s="23" t="s">
        <v>46</v>
      </c>
      <c r="D2" s="23"/>
      <c r="E2" s="23"/>
      <c r="F2" s="23" t="s">
        <v>3</v>
      </c>
      <c r="G2" s="23"/>
      <c r="H2" s="23" t="s">
        <v>47</v>
      </c>
      <c r="I2" s="23"/>
      <c r="J2" s="23"/>
      <c r="K2" s="23"/>
    </row>
    <row r="3" spans="1:11" ht="58.8" customHeight="1">
      <c r="A3" s="7"/>
      <c r="B3" s="9" t="s">
        <v>5</v>
      </c>
      <c r="C3" s="24" t="s">
        <v>43</v>
      </c>
      <c r="D3" s="25"/>
      <c r="E3" s="25"/>
      <c r="F3" s="25"/>
      <c r="G3" s="25"/>
      <c r="H3" s="25"/>
      <c r="I3" s="25"/>
      <c r="J3" s="25"/>
      <c r="K3" s="26"/>
    </row>
    <row r="4" spans="1:11" ht="35.25" customHeight="1">
      <c r="A4" s="7"/>
      <c r="B4" s="9" t="s">
        <v>7</v>
      </c>
      <c r="C4" s="27" t="s">
        <v>8</v>
      </c>
      <c r="D4" s="27"/>
      <c r="E4" s="27"/>
      <c r="F4" s="27"/>
      <c r="G4" s="27"/>
      <c r="H4" s="28" t="s">
        <v>9</v>
      </c>
      <c r="I4" s="28"/>
      <c r="J4" s="28" t="s">
        <v>10</v>
      </c>
      <c r="K4" s="28"/>
    </row>
    <row r="5" spans="1:11" ht="30" customHeight="1">
      <c r="A5" s="7"/>
      <c r="B5" s="8" t="s">
        <v>11</v>
      </c>
      <c r="C5" s="29" t="s">
        <v>12</v>
      </c>
      <c r="D5" s="29"/>
      <c r="E5" s="29"/>
      <c r="F5" s="29" t="s">
        <v>13</v>
      </c>
      <c r="G5" s="29"/>
      <c r="H5" s="10" t="s">
        <v>14</v>
      </c>
      <c r="I5" s="10" t="s">
        <v>15</v>
      </c>
      <c r="J5" s="10" t="s">
        <v>14</v>
      </c>
      <c r="K5" s="10" t="s">
        <v>15</v>
      </c>
    </row>
    <row r="6" spans="1:11" ht="64.5" customHeight="1">
      <c r="A6" s="7"/>
      <c r="B6" s="8" t="s">
        <v>16</v>
      </c>
      <c r="C6" s="30" t="s">
        <v>17</v>
      </c>
      <c r="D6" s="30"/>
      <c r="E6" s="30"/>
      <c r="F6" s="29">
        <v>27</v>
      </c>
      <c r="G6" s="29"/>
      <c r="H6" s="12">
        <v>0.3</v>
      </c>
      <c r="I6" s="12">
        <v>0.2</v>
      </c>
      <c r="J6" s="12">
        <v>0.3</v>
      </c>
      <c r="K6" s="12">
        <v>0.25</v>
      </c>
    </row>
    <row r="7" spans="1:11" ht="81" customHeight="1">
      <c r="A7" s="7"/>
      <c r="B7" s="8" t="s">
        <v>18</v>
      </c>
      <c r="C7" s="30" t="s">
        <v>19</v>
      </c>
      <c r="D7" s="30"/>
      <c r="E7" s="30"/>
      <c r="F7" s="29">
        <v>26</v>
      </c>
      <c r="G7" s="29"/>
      <c r="H7" s="12">
        <v>0.3</v>
      </c>
      <c r="I7" s="12">
        <v>0.2</v>
      </c>
      <c r="J7" s="12">
        <v>0.4</v>
      </c>
      <c r="K7" s="12">
        <v>0.25</v>
      </c>
    </row>
    <row r="8" spans="1:11" ht="53.4" customHeight="1">
      <c r="A8" s="7"/>
      <c r="B8" s="8" t="s">
        <v>20</v>
      </c>
      <c r="C8" s="31" t="s">
        <v>21</v>
      </c>
      <c r="D8" s="32"/>
      <c r="E8" s="30"/>
      <c r="F8" s="29">
        <v>9</v>
      </c>
      <c r="G8" s="29"/>
      <c r="H8" s="12">
        <v>0.1</v>
      </c>
      <c r="I8" s="12">
        <v>0.1</v>
      </c>
      <c r="J8" s="12">
        <v>0</v>
      </c>
      <c r="K8" s="12">
        <v>0</v>
      </c>
    </row>
    <row r="9" spans="1:11" ht="40.200000000000003" customHeight="1">
      <c r="A9" s="7"/>
      <c r="B9" s="8" t="s">
        <v>22</v>
      </c>
      <c r="C9" s="30" t="s">
        <v>23</v>
      </c>
      <c r="D9" s="30"/>
      <c r="E9" s="30"/>
      <c r="F9" s="29">
        <v>26</v>
      </c>
      <c r="G9" s="29"/>
      <c r="H9" s="12">
        <v>0.3</v>
      </c>
      <c r="I9" s="12">
        <v>0.5</v>
      </c>
      <c r="J9" s="12">
        <v>0.3</v>
      </c>
      <c r="K9" s="12">
        <v>0.5</v>
      </c>
    </row>
    <row r="10" spans="1:11" ht="50.4" customHeight="1">
      <c r="A10" s="7"/>
      <c r="B10" s="33" t="s">
        <v>24</v>
      </c>
      <c r="C10" s="33"/>
      <c r="D10" s="33"/>
      <c r="E10" s="34"/>
      <c r="F10" s="34"/>
      <c r="G10" s="34"/>
      <c r="H10" s="12">
        <f>SUM(H6:H9)</f>
        <v>1</v>
      </c>
      <c r="I10" s="12">
        <f>SUM(I6:I9)</f>
        <v>1</v>
      </c>
      <c r="J10" s="12">
        <f>SUM(J6:J9)</f>
        <v>1</v>
      </c>
      <c r="K10" s="12">
        <f>SUM(K6:K9)</f>
        <v>1</v>
      </c>
    </row>
    <row r="11" spans="1:11" ht="43.2" customHeight="1">
      <c r="A11" s="7"/>
      <c r="B11" s="35"/>
      <c r="C11" s="36"/>
      <c r="D11" s="36"/>
      <c r="E11" s="36"/>
      <c r="F11" s="36"/>
      <c r="G11" s="36"/>
      <c r="H11" s="36"/>
      <c r="I11" s="36"/>
      <c r="J11" s="36"/>
      <c r="K11" s="37"/>
    </row>
    <row r="12" spans="1:11" ht="31.8" customHeight="1">
      <c r="A12" s="7"/>
      <c r="B12" s="29" t="s">
        <v>25</v>
      </c>
      <c r="C12" s="29"/>
      <c r="D12" s="29"/>
      <c r="E12" s="29"/>
      <c r="F12" s="29" t="s">
        <v>26</v>
      </c>
      <c r="G12" s="29"/>
      <c r="H12" s="29"/>
      <c r="I12" s="29"/>
      <c r="J12" s="29"/>
      <c r="K12" s="29"/>
    </row>
    <row r="13" spans="1:11" ht="30" customHeight="1">
      <c r="A13" s="7"/>
      <c r="B13" s="29" t="s">
        <v>14</v>
      </c>
      <c r="C13" s="29"/>
      <c r="D13" s="11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25</v>
      </c>
      <c r="E13" s="13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考核:戊</v>
      </c>
      <c r="F13" s="38"/>
      <c r="G13" s="38"/>
      <c r="H13" s="38"/>
      <c r="I13" s="38"/>
      <c r="J13" s="38"/>
      <c r="K13" s="38"/>
    </row>
    <row r="14" spans="1:11" ht="30" customHeight="1">
      <c r="A14" s="7"/>
      <c r="B14" s="29" t="s">
        <v>15</v>
      </c>
      <c r="C14" s="29"/>
      <c r="D14" s="11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25</v>
      </c>
      <c r="E14" s="13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績效:戊</v>
      </c>
      <c r="F14" s="38"/>
      <c r="G14" s="38"/>
      <c r="H14" s="38"/>
      <c r="I14" s="38"/>
      <c r="J14" s="38"/>
      <c r="K14" s="38"/>
    </row>
    <row r="15" spans="1:11" s="14" customFormat="1" ht="19.2" customHeight="1">
      <c r="B15" s="15" t="s">
        <v>27</v>
      </c>
      <c r="C15" s="16"/>
      <c r="D15" s="16"/>
      <c r="E15" s="16"/>
      <c r="F15" s="17"/>
      <c r="G15" s="18"/>
      <c r="H15" s="5"/>
      <c r="I15" s="5"/>
      <c r="J15" s="5"/>
      <c r="K15" s="5"/>
    </row>
    <row r="16" spans="1:11" s="14" customFormat="1">
      <c r="B16" s="15" t="s">
        <v>28</v>
      </c>
      <c r="C16" s="16"/>
      <c r="D16" s="16"/>
      <c r="E16" s="16"/>
      <c r="F16" s="18"/>
      <c r="G16" s="18"/>
      <c r="H16" s="5"/>
      <c r="I16" s="5"/>
      <c r="J16" s="5"/>
      <c r="K16" s="5"/>
    </row>
    <row r="17" spans="2:11" s="14" customFormat="1">
      <c r="B17" s="15" t="s">
        <v>29</v>
      </c>
      <c r="C17" s="16"/>
      <c r="D17" s="16"/>
      <c r="E17" s="16"/>
      <c r="F17" s="18"/>
      <c r="G17" s="18"/>
      <c r="H17" s="5"/>
      <c r="I17" s="5"/>
      <c r="J17" s="5"/>
      <c r="K17" s="5"/>
    </row>
    <row r="18" spans="2:11" s="14" customFormat="1">
      <c r="B18" s="15" t="s">
        <v>30</v>
      </c>
      <c r="C18" s="16"/>
      <c r="D18" s="16"/>
      <c r="E18" s="16"/>
      <c r="F18" s="18"/>
      <c r="G18" s="18"/>
      <c r="H18" s="5"/>
      <c r="I18" s="5"/>
      <c r="J18" s="5"/>
      <c r="K18" s="5"/>
    </row>
    <row r="19" spans="2:11" s="14" customFormat="1">
      <c r="B19" s="15" t="s">
        <v>31</v>
      </c>
      <c r="C19" s="16"/>
      <c r="D19" s="16"/>
      <c r="E19" s="16"/>
      <c r="F19" s="18"/>
      <c r="G19" s="18"/>
      <c r="H19" s="5"/>
      <c r="I19" s="5"/>
      <c r="J19" s="5"/>
      <c r="K19" s="5"/>
    </row>
    <row r="20" spans="2:11" s="14" customFormat="1">
      <c r="B20" s="15" t="s">
        <v>32</v>
      </c>
      <c r="C20" s="16"/>
      <c r="D20" s="16"/>
      <c r="E20" s="16"/>
      <c r="F20" s="18"/>
      <c r="G20" s="18"/>
      <c r="H20" s="5"/>
      <c r="I20" s="5"/>
      <c r="J20" s="5"/>
      <c r="K20" s="5"/>
    </row>
    <row r="21" spans="2:11" s="14" customFormat="1">
      <c r="B21" s="15" t="s">
        <v>33</v>
      </c>
      <c r="C21" s="16"/>
      <c r="D21" s="16"/>
      <c r="E21" s="16"/>
      <c r="F21" s="18"/>
      <c r="G21" s="18"/>
      <c r="H21" s="5"/>
      <c r="I21" s="5"/>
      <c r="J21" s="5"/>
      <c r="K21" s="5"/>
    </row>
    <row r="22" spans="2:11" s="14" customFormat="1">
      <c r="B22" s="15" t="s">
        <v>34</v>
      </c>
      <c r="C22" s="16"/>
      <c r="D22" s="16"/>
      <c r="E22" s="16"/>
      <c r="F22" s="18"/>
      <c r="G22" s="18"/>
      <c r="H22" s="5"/>
      <c r="I22" s="5"/>
      <c r="J22" s="5"/>
      <c r="K22" s="5"/>
    </row>
    <row r="23" spans="2:11" s="14" customFormat="1">
      <c r="B23" s="15"/>
      <c r="C23" s="16"/>
      <c r="D23" s="16"/>
      <c r="E23" s="16"/>
      <c r="F23" s="18"/>
      <c r="G23" s="18"/>
      <c r="H23" s="5"/>
      <c r="I23" s="5"/>
      <c r="J23" s="5"/>
      <c r="K23" s="5"/>
    </row>
    <row r="24" spans="2:11">
      <c r="B24" s="19"/>
    </row>
    <row r="25" spans="2:11">
      <c r="B25" s="19"/>
    </row>
  </sheetData>
  <sheetProtection algorithmName="SHA-512" hashValue="OG7yWK80DdPK3TQwjI3PaNQK+bJsoDVL8H3S5hD1CDK+7GphyYGSphIMHhYKiKEpNWn7jc4sy8IGs4DMkSWifg==" saltValue="4SwpJakn5J/PkUzSOWhRUA==" spinCount="100000" sheet="1" objects="1" scenarios="1" selectLockedCells="1"/>
  <mergeCells count="26">
    <mergeCell ref="B13:C13"/>
    <mergeCell ref="F13:K13"/>
    <mergeCell ref="B14:C14"/>
    <mergeCell ref="F14:K14"/>
    <mergeCell ref="C9:E9"/>
    <mergeCell ref="F9:G9"/>
    <mergeCell ref="B10:G10"/>
    <mergeCell ref="B11:K11"/>
    <mergeCell ref="B12:E12"/>
    <mergeCell ref="F12:K12"/>
    <mergeCell ref="C6:E6"/>
    <mergeCell ref="F6:G6"/>
    <mergeCell ref="C7:E7"/>
    <mergeCell ref="F7:G7"/>
    <mergeCell ref="C8:E8"/>
    <mergeCell ref="F8:G8"/>
    <mergeCell ref="C4:G4"/>
    <mergeCell ref="H4:I4"/>
    <mergeCell ref="J4:K4"/>
    <mergeCell ref="C5:E5"/>
    <mergeCell ref="F5:G5"/>
    <mergeCell ref="B1:K1"/>
    <mergeCell ref="C2:E2"/>
    <mergeCell ref="F2:G2"/>
    <mergeCell ref="H2:K2"/>
    <mergeCell ref="C3:K3"/>
  </mergeCells>
  <phoneticPr fontId="10" type="noConversion"/>
  <dataValidations count="2">
    <dataValidation type="whole" allowBlank="1" showInputMessage="1" showErrorMessage="1" error="請輸入0-100之間" prompt="請輸入0-100之間" sqref="F6" xr:uid="{004900E2-005D-4C5B-9C37-006F006C00CD}">
      <formula1>0</formula1>
      <formula2>100</formula2>
    </dataValidation>
    <dataValidation type="whole" allowBlank="1" showInputMessage="1" showErrorMessage="1" error="請輸入0-100之間" sqref="F7:F9" xr:uid="{0054006F-0083-47B7-8860-009300DB0050}">
      <formula1>0</formula1>
      <formula2>100</formula2>
    </dataValidation>
  </dataValidations>
  <printOptions horizontalCentered="1"/>
  <pageMargins left="3.937007874015748E-2" right="3.937007874015748E-2" top="0.55118110236220474" bottom="0.74803149606299213" header="0.31496062992125984" footer="0.31496062992125984"/>
  <pageSetup paperSize="9" orientation="portrait" useFirstPageNumber="1" horizontalDpi="2147483648" verticalDpi="2147483648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5"/>
  <sheetViews>
    <sheetView topLeftCell="B17" workbookViewId="0">
      <selection activeCell="C3" sqref="C3"/>
    </sheetView>
  </sheetViews>
  <sheetFormatPr defaultColWidth="11.19921875" defaultRowHeight="14.4"/>
  <cols>
    <col min="1" max="1" width="9.765625E-2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2" width="11.19921875" style="1" customWidth="1"/>
    <col min="13" max="16384" width="11.19921875" style="1"/>
  </cols>
  <sheetData>
    <row r="1" spans="1:11" s="6" customFormat="1" ht="36.6" customHeight="1">
      <c r="A1" s="7"/>
      <c r="B1" s="20" t="s">
        <v>0</v>
      </c>
      <c r="C1" s="21"/>
      <c r="D1" s="21"/>
      <c r="E1" s="21"/>
      <c r="F1" s="21"/>
      <c r="G1" s="21"/>
      <c r="H1" s="21"/>
      <c r="I1" s="21"/>
      <c r="J1" s="21"/>
      <c r="K1" s="22"/>
    </row>
    <row r="2" spans="1:11" ht="35.25" customHeight="1">
      <c r="A2" s="7"/>
      <c r="B2" s="8" t="s">
        <v>1</v>
      </c>
      <c r="C2" s="23" t="s">
        <v>48</v>
      </c>
      <c r="D2" s="23"/>
      <c r="E2" s="23"/>
      <c r="F2" s="23" t="s">
        <v>3</v>
      </c>
      <c r="G2" s="23"/>
      <c r="H2" s="23" t="s">
        <v>49</v>
      </c>
      <c r="I2" s="23"/>
      <c r="J2" s="23"/>
      <c r="K2" s="23"/>
    </row>
    <row r="3" spans="1:11" ht="58.8" customHeight="1">
      <c r="A3" s="7"/>
      <c r="B3" s="9" t="s">
        <v>5</v>
      </c>
      <c r="C3" s="24" t="s">
        <v>43</v>
      </c>
      <c r="D3" s="25"/>
      <c r="E3" s="25"/>
      <c r="F3" s="25"/>
      <c r="G3" s="25"/>
      <c r="H3" s="25"/>
      <c r="I3" s="25"/>
      <c r="J3" s="25"/>
      <c r="K3" s="26"/>
    </row>
    <row r="4" spans="1:11" ht="35.25" customHeight="1">
      <c r="A4" s="7"/>
      <c r="B4" s="9" t="s">
        <v>7</v>
      </c>
      <c r="C4" s="27" t="s">
        <v>8</v>
      </c>
      <c r="D4" s="27"/>
      <c r="E4" s="27"/>
      <c r="F4" s="27"/>
      <c r="G4" s="27"/>
      <c r="H4" s="28" t="s">
        <v>9</v>
      </c>
      <c r="I4" s="28"/>
      <c r="J4" s="28" t="s">
        <v>10</v>
      </c>
      <c r="K4" s="28"/>
    </row>
    <row r="5" spans="1:11" ht="30" customHeight="1">
      <c r="A5" s="7"/>
      <c r="B5" s="8" t="s">
        <v>11</v>
      </c>
      <c r="C5" s="29" t="s">
        <v>12</v>
      </c>
      <c r="D5" s="29"/>
      <c r="E5" s="29"/>
      <c r="F5" s="29" t="s">
        <v>13</v>
      </c>
      <c r="G5" s="29"/>
      <c r="H5" s="10" t="s">
        <v>14</v>
      </c>
      <c r="I5" s="10" t="s">
        <v>15</v>
      </c>
      <c r="J5" s="10" t="s">
        <v>14</v>
      </c>
      <c r="K5" s="10" t="s">
        <v>15</v>
      </c>
    </row>
    <row r="6" spans="1:11" ht="64.5" customHeight="1">
      <c r="A6" s="7"/>
      <c r="B6" s="8" t="s">
        <v>16</v>
      </c>
      <c r="C6" s="30" t="s">
        <v>17</v>
      </c>
      <c r="D6" s="30"/>
      <c r="E6" s="30"/>
      <c r="F6" s="29">
        <v>25</v>
      </c>
      <c r="G6" s="29"/>
      <c r="H6" s="12">
        <v>0.3</v>
      </c>
      <c r="I6" s="12">
        <v>0.2</v>
      </c>
      <c r="J6" s="12">
        <v>0.3</v>
      </c>
      <c r="K6" s="12">
        <v>0.25</v>
      </c>
    </row>
    <row r="7" spans="1:11" ht="81" customHeight="1">
      <c r="A7" s="7"/>
      <c r="B7" s="8" t="s">
        <v>18</v>
      </c>
      <c r="C7" s="30" t="s">
        <v>19</v>
      </c>
      <c r="D7" s="30"/>
      <c r="E7" s="30"/>
      <c r="F7" s="29">
        <v>27</v>
      </c>
      <c r="G7" s="29"/>
      <c r="H7" s="12">
        <v>0.3</v>
      </c>
      <c r="I7" s="12">
        <v>0.2</v>
      </c>
      <c r="J7" s="12">
        <v>0.4</v>
      </c>
      <c r="K7" s="12">
        <v>0.25</v>
      </c>
    </row>
    <row r="8" spans="1:11" ht="53.4" customHeight="1">
      <c r="A8" s="7"/>
      <c r="B8" s="8" t="s">
        <v>20</v>
      </c>
      <c r="C8" s="31" t="s">
        <v>21</v>
      </c>
      <c r="D8" s="32"/>
      <c r="E8" s="30"/>
      <c r="F8" s="29">
        <v>8</v>
      </c>
      <c r="G8" s="29"/>
      <c r="H8" s="12">
        <v>0.1</v>
      </c>
      <c r="I8" s="12">
        <v>0.1</v>
      </c>
      <c r="J8" s="12">
        <v>0</v>
      </c>
      <c r="K8" s="12">
        <v>0</v>
      </c>
    </row>
    <row r="9" spans="1:11" ht="40.200000000000003" customHeight="1">
      <c r="A9" s="7"/>
      <c r="B9" s="8" t="s">
        <v>22</v>
      </c>
      <c r="C9" s="30" t="s">
        <v>23</v>
      </c>
      <c r="D9" s="30"/>
      <c r="E9" s="30"/>
      <c r="F9" s="29">
        <v>25</v>
      </c>
      <c r="G9" s="29"/>
      <c r="H9" s="12">
        <v>0.3</v>
      </c>
      <c r="I9" s="12">
        <v>0.5</v>
      </c>
      <c r="J9" s="12">
        <v>0.3</v>
      </c>
      <c r="K9" s="12">
        <v>0.5</v>
      </c>
    </row>
    <row r="10" spans="1:11" ht="50.4" customHeight="1">
      <c r="A10" s="7"/>
      <c r="B10" s="33" t="s">
        <v>24</v>
      </c>
      <c r="C10" s="33"/>
      <c r="D10" s="33"/>
      <c r="E10" s="34"/>
      <c r="F10" s="34"/>
      <c r="G10" s="34"/>
      <c r="H10" s="12">
        <f>SUM(H6:H9)</f>
        <v>1</v>
      </c>
      <c r="I10" s="12">
        <f>SUM(I6:I9)</f>
        <v>1</v>
      </c>
      <c r="J10" s="12">
        <f>SUM(J6:J9)</f>
        <v>1</v>
      </c>
      <c r="K10" s="12">
        <f>SUM(K6:K9)</f>
        <v>1</v>
      </c>
    </row>
    <row r="11" spans="1:11" ht="43.2" customHeight="1">
      <c r="A11" s="7"/>
      <c r="B11" s="35"/>
      <c r="C11" s="36"/>
      <c r="D11" s="36"/>
      <c r="E11" s="36"/>
      <c r="F11" s="36"/>
      <c r="G11" s="36"/>
      <c r="H11" s="36"/>
      <c r="I11" s="36"/>
      <c r="J11" s="36"/>
      <c r="K11" s="37"/>
    </row>
    <row r="12" spans="1:11" ht="31.8" customHeight="1">
      <c r="A12" s="7"/>
      <c r="B12" s="29" t="s">
        <v>25</v>
      </c>
      <c r="C12" s="29"/>
      <c r="D12" s="29"/>
      <c r="E12" s="29"/>
      <c r="F12" s="29" t="s">
        <v>26</v>
      </c>
      <c r="G12" s="29"/>
      <c r="H12" s="29"/>
      <c r="I12" s="29"/>
      <c r="J12" s="29"/>
      <c r="K12" s="29"/>
    </row>
    <row r="13" spans="1:11" ht="30" customHeight="1">
      <c r="A13" s="7"/>
      <c r="B13" s="29" t="s">
        <v>14</v>
      </c>
      <c r="C13" s="29"/>
      <c r="D13" s="11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24</v>
      </c>
      <c r="E13" s="13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考核:戊</v>
      </c>
      <c r="F13" s="38"/>
      <c r="G13" s="38"/>
      <c r="H13" s="38"/>
      <c r="I13" s="38"/>
      <c r="J13" s="38"/>
      <c r="K13" s="38"/>
    </row>
    <row r="14" spans="1:11" ht="30" customHeight="1">
      <c r="A14" s="7"/>
      <c r="B14" s="29" t="s">
        <v>15</v>
      </c>
      <c r="C14" s="29"/>
      <c r="D14" s="11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24</v>
      </c>
      <c r="E14" s="13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績效:戊</v>
      </c>
      <c r="F14" s="38"/>
      <c r="G14" s="38"/>
      <c r="H14" s="38"/>
      <c r="I14" s="38"/>
      <c r="J14" s="38"/>
      <c r="K14" s="38"/>
    </row>
    <row r="15" spans="1:11" s="14" customFormat="1" ht="19.2" customHeight="1">
      <c r="B15" s="15" t="s">
        <v>27</v>
      </c>
      <c r="C15" s="16"/>
      <c r="D15" s="16"/>
      <c r="E15" s="16"/>
      <c r="F15" s="17"/>
      <c r="G15" s="18"/>
      <c r="H15" s="5"/>
      <c r="I15" s="5"/>
      <c r="J15" s="5"/>
      <c r="K15" s="5"/>
    </row>
    <row r="16" spans="1:11" s="14" customFormat="1">
      <c r="B16" s="15" t="s">
        <v>28</v>
      </c>
      <c r="C16" s="16"/>
      <c r="D16" s="16"/>
      <c r="E16" s="16"/>
      <c r="F16" s="18"/>
      <c r="G16" s="18"/>
      <c r="H16" s="5"/>
      <c r="I16" s="5"/>
      <c r="J16" s="5"/>
      <c r="K16" s="5"/>
    </row>
    <row r="17" spans="2:11" s="14" customFormat="1">
      <c r="B17" s="15" t="s">
        <v>29</v>
      </c>
      <c r="C17" s="16"/>
      <c r="D17" s="16"/>
      <c r="E17" s="16"/>
      <c r="F17" s="18"/>
      <c r="G17" s="18"/>
      <c r="H17" s="5"/>
      <c r="I17" s="5"/>
      <c r="J17" s="5"/>
      <c r="K17" s="5"/>
    </row>
    <row r="18" spans="2:11" s="14" customFormat="1">
      <c r="B18" s="15" t="s">
        <v>30</v>
      </c>
      <c r="C18" s="16"/>
      <c r="D18" s="16"/>
      <c r="E18" s="16"/>
      <c r="F18" s="18"/>
      <c r="G18" s="18"/>
      <c r="H18" s="5"/>
      <c r="I18" s="5"/>
      <c r="J18" s="5"/>
      <c r="K18" s="5"/>
    </row>
    <row r="19" spans="2:11" s="14" customFormat="1">
      <c r="B19" s="15" t="s">
        <v>31</v>
      </c>
      <c r="C19" s="16"/>
      <c r="D19" s="16"/>
      <c r="E19" s="16"/>
      <c r="F19" s="18"/>
      <c r="G19" s="18"/>
      <c r="H19" s="5"/>
      <c r="I19" s="5"/>
      <c r="J19" s="5"/>
      <c r="K19" s="5"/>
    </row>
    <row r="20" spans="2:11" s="14" customFormat="1">
      <c r="B20" s="15" t="s">
        <v>32</v>
      </c>
      <c r="C20" s="16"/>
      <c r="D20" s="16"/>
      <c r="E20" s="16"/>
      <c r="F20" s="18"/>
      <c r="G20" s="18"/>
      <c r="H20" s="5"/>
      <c r="I20" s="5"/>
      <c r="J20" s="5"/>
      <c r="K20" s="5"/>
    </row>
    <row r="21" spans="2:11" s="14" customFormat="1">
      <c r="B21" s="15" t="s">
        <v>33</v>
      </c>
      <c r="C21" s="16"/>
      <c r="D21" s="16"/>
      <c r="E21" s="16"/>
      <c r="F21" s="18"/>
      <c r="G21" s="18"/>
      <c r="H21" s="5"/>
      <c r="I21" s="5"/>
      <c r="J21" s="5"/>
      <c r="K21" s="5"/>
    </row>
    <row r="22" spans="2:11" s="14" customFormat="1">
      <c r="B22" s="15" t="s">
        <v>34</v>
      </c>
      <c r="C22" s="16"/>
      <c r="D22" s="16"/>
      <c r="E22" s="16"/>
      <c r="F22" s="18"/>
      <c r="G22" s="18"/>
      <c r="H22" s="5"/>
      <c r="I22" s="5"/>
      <c r="J22" s="5"/>
      <c r="K22" s="5"/>
    </row>
    <row r="23" spans="2:11" s="14" customFormat="1">
      <c r="B23" s="15"/>
      <c r="C23" s="16"/>
      <c r="D23" s="16"/>
      <c r="E23" s="16"/>
      <c r="F23" s="18"/>
      <c r="G23" s="18"/>
      <c r="H23" s="5"/>
      <c r="I23" s="5"/>
      <c r="J23" s="5"/>
      <c r="K23" s="5"/>
    </row>
    <row r="24" spans="2:11">
      <c r="B24" s="19"/>
    </row>
    <row r="25" spans="2:11">
      <c r="B25" s="19"/>
    </row>
  </sheetData>
  <sheetProtection algorithmName="SHA-512" hashValue="OG7yWK80DdPK3TQwjI3PaNQK+bJsoDVL8H3S5hD1CDK+7GphyYGSphIMHhYKiKEpNWn7jc4sy8IGs4DMkSWifg==" saltValue="4SwpJakn5J/PkUzSOWhRUA==" spinCount="100000" sheet="1" objects="1" scenarios="1" selectLockedCells="1"/>
  <mergeCells count="26">
    <mergeCell ref="B13:C13"/>
    <mergeCell ref="F13:K13"/>
    <mergeCell ref="B14:C14"/>
    <mergeCell ref="F14:K14"/>
    <mergeCell ref="C9:E9"/>
    <mergeCell ref="F9:G9"/>
    <mergeCell ref="B10:G10"/>
    <mergeCell ref="B11:K11"/>
    <mergeCell ref="B12:E12"/>
    <mergeCell ref="F12:K12"/>
    <mergeCell ref="C6:E6"/>
    <mergeCell ref="F6:G6"/>
    <mergeCell ref="C7:E7"/>
    <mergeCell ref="F7:G7"/>
    <mergeCell ref="C8:E8"/>
    <mergeCell ref="F8:G8"/>
    <mergeCell ref="C4:G4"/>
    <mergeCell ref="H4:I4"/>
    <mergeCell ref="J4:K4"/>
    <mergeCell ref="C5:E5"/>
    <mergeCell ref="F5:G5"/>
    <mergeCell ref="B1:K1"/>
    <mergeCell ref="C2:E2"/>
    <mergeCell ref="F2:G2"/>
    <mergeCell ref="H2:K2"/>
    <mergeCell ref="C3:K3"/>
  </mergeCells>
  <phoneticPr fontId="10" type="noConversion"/>
  <dataValidations count="2">
    <dataValidation type="whole" allowBlank="1" showInputMessage="1" showErrorMessage="1" error="請輸入0-100之間" prompt="請輸入0-100之間" sqref="F6" xr:uid="{00690045-0046-4510-AA6C-0046000C00E1}">
      <formula1>0</formula1>
      <formula2>100</formula2>
    </dataValidation>
    <dataValidation type="whole" allowBlank="1" showInputMessage="1" showErrorMessage="1" error="請輸入0-100之間" sqref="F7:F9" xr:uid="{00C100AB-0048-4EF3-ACE4-008300570037}">
      <formula1>0</formula1>
      <formula2>100</formula2>
    </dataValidation>
  </dataValidations>
  <printOptions horizontalCentered="1"/>
  <pageMargins left="3.937007874015748E-2" right="3.937007874015748E-2" top="0.55118110236220474" bottom="0.74803149606299213" header="0.31496062992125984" footer="0.31496062992125984"/>
  <pageSetup paperSize="9" orientation="portrait" useFirstPageNumber="1" horizontalDpi="2147483648" verticalDpi="2147483648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25"/>
  <sheetViews>
    <sheetView topLeftCell="B5" workbookViewId="0">
      <selection activeCell="C3" sqref="C3"/>
    </sheetView>
  </sheetViews>
  <sheetFormatPr defaultColWidth="11.19921875" defaultRowHeight="14.4"/>
  <cols>
    <col min="1" max="1" width="9.765625E-2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2" width="11.19921875" style="1" customWidth="1"/>
    <col min="13" max="16384" width="11.19921875" style="1"/>
  </cols>
  <sheetData>
    <row r="1" spans="1:11" s="6" customFormat="1" ht="36.6" customHeight="1">
      <c r="A1" s="7"/>
      <c r="B1" s="20" t="s">
        <v>0</v>
      </c>
      <c r="C1" s="21"/>
      <c r="D1" s="21"/>
      <c r="E1" s="21"/>
      <c r="F1" s="21"/>
      <c r="G1" s="21"/>
      <c r="H1" s="21"/>
      <c r="I1" s="21"/>
      <c r="J1" s="21"/>
      <c r="K1" s="22"/>
    </row>
    <row r="2" spans="1:11" ht="35.25" customHeight="1">
      <c r="A2" s="7"/>
      <c r="B2" s="8" t="s">
        <v>1</v>
      </c>
      <c r="C2" s="23" t="s">
        <v>50</v>
      </c>
      <c r="D2" s="23"/>
      <c r="E2" s="23"/>
      <c r="F2" s="23" t="s">
        <v>3</v>
      </c>
      <c r="G2" s="23"/>
      <c r="H2" s="23" t="s">
        <v>51</v>
      </c>
      <c r="I2" s="23"/>
      <c r="J2" s="23"/>
      <c r="K2" s="23"/>
    </row>
    <row r="3" spans="1:11" ht="58.8" customHeight="1">
      <c r="A3" s="7"/>
      <c r="B3" s="9" t="s">
        <v>5</v>
      </c>
      <c r="C3" s="24" t="s">
        <v>43</v>
      </c>
      <c r="D3" s="25"/>
      <c r="E3" s="25"/>
      <c r="F3" s="25"/>
      <c r="G3" s="25"/>
      <c r="H3" s="25"/>
      <c r="I3" s="25"/>
      <c r="J3" s="25"/>
      <c r="K3" s="26"/>
    </row>
    <row r="4" spans="1:11" ht="35.25" customHeight="1">
      <c r="A4" s="7"/>
      <c r="B4" s="9" t="s">
        <v>7</v>
      </c>
      <c r="C4" s="27" t="s">
        <v>8</v>
      </c>
      <c r="D4" s="27"/>
      <c r="E4" s="27"/>
      <c r="F4" s="27"/>
      <c r="G4" s="27"/>
      <c r="H4" s="28" t="s">
        <v>9</v>
      </c>
      <c r="I4" s="28"/>
      <c r="J4" s="28" t="s">
        <v>10</v>
      </c>
      <c r="K4" s="28"/>
    </row>
    <row r="5" spans="1:11" ht="30" customHeight="1">
      <c r="A5" s="7"/>
      <c r="B5" s="8" t="s">
        <v>11</v>
      </c>
      <c r="C5" s="29" t="s">
        <v>12</v>
      </c>
      <c r="D5" s="29"/>
      <c r="E5" s="29"/>
      <c r="F5" s="29" t="s">
        <v>13</v>
      </c>
      <c r="G5" s="29"/>
      <c r="H5" s="10" t="s">
        <v>14</v>
      </c>
      <c r="I5" s="10" t="s">
        <v>15</v>
      </c>
      <c r="J5" s="10" t="s">
        <v>14</v>
      </c>
      <c r="K5" s="10" t="s">
        <v>15</v>
      </c>
    </row>
    <row r="6" spans="1:11" ht="64.5" customHeight="1">
      <c r="A6" s="7"/>
      <c r="B6" s="8" t="s">
        <v>16</v>
      </c>
      <c r="C6" s="30" t="s">
        <v>17</v>
      </c>
      <c r="D6" s="30"/>
      <c r="E6" s="30"/>
      <c r="F6" s="29">
        <v>27</v>
      </c>
      <c r="G6" s="29"/>
      <c r="H6" s="12">
        <v>0.3</v>
      </c>
      <c r="I6" s="12">
        <v>0.2</v>
      </c>
      <c r="J6" s="12">
        <v>0.3</v>
      </c>
      <c r="K6" s="12">
        <v>0.25</v>
      </c>
    </row>
    <row r="7" spans="1:11" ht="81" customHeight="1">
      <c r="A7" s="7"/>
      <c r="B7" s="8" t="s">
        <v>18</v>
      </c>
      <c r="C7" s="30" t="s">
        <v>19</v>
      </c>
      <c r="D7" s="30"/>
      <c r="E7" s="30"/>
      <c r="F7" s="29">
        <v>27</v>
      </c>
      <c r="G7" s="29"/>
      <c r="H7" s="12">
        <v>0.3</v>
      </c>
      <c r="I7" s="12">
        <v>0.2</v>
      </c>
      <c r="J7" s="12">
        <v>0.4</v>
      </c>
      <c r="K7" s="12">
        <v>0.25</v>
      </c>
    </row>
    <row r="8" spans="1:11" ht="53.4" customHeight="1">
      <c r="A8" s="7"/>
      <c r="B8" s="8" t="s">
        <v>20</v>
      </c>
      <c r="C8" s="31" t="s">
        <v>21</v>
      </c>
      <c r="D8" s="32"/>
      <c r="E8" s="30"/>
      <c r="F8" s="29">
        <v>9</v>
      </c>
      <c r="G8" s="29"/>
      <c r="H8" s="12">
        <v>0.1</v>
      </c>
      <c r="I8" s="12">
        <v>0.1</v>
      </c>
      <c r="J8" s="12">
        <v>0</v>
      </c>
      <c r="K8" s="12">
        <v>0</v>
      </c>
    </row>
    <row r="9" spans="1:11" ht="40.200000000000003" customHeight="1">
      <c r="A9" s="7"/>
      <c r="B9" s="8" t="s">
        <v>22</v>
      </c>
      <c r="C9" s="30" t="s">
        <v>23</v>
      </c>
      <c r="D9" s="30"/>
      <c r="E9" s="30"/>
      <c r="F9" s="29">
        <v>27</v>
      </c>
      <c r="G9" s="29"/>
      <c r="H9" s="12">
        <v>0.3</v>
      </c>
      <c r="I9" s="12">
        <v>0.5</v>
      </c>
      <c r="J9" s="12">
        <v>0.3</v>
      </c>
      <c r="K9" s="12">
        <v>0.5</v>
      </c>
    </row>
    <row r="10" spans="1:11" ht="50.4" customHeight="1">
      <c r="A10" s="7"/>
      <c r="B10" s="33" t="s">
        <v>24</v>
      </c>
      <c r="C10" s="33"/>
      <c r="D10" s="33"/>
      <c r="E10" s="34"/>
      <c r="F10" s="34"/>
      <c r="G10" s="34"/>
      <c r="H10" s="12">
        <f>SUM(H6:H9)</f>
        <v>1</v>
      </c>
      <c r="I10" s="12">
        <f>SUM(I6:I9)</f>
        <v>1</v>
      </c>
      <c r="J10" s="12">
        <f>SUM(J6:J9)</f>
        <v>1</v>
      </c>
      <c r="K10" s="12">
        <f>SUM(K6:K9)</f>
        <v>1</v>
      </c>
    </row>
    <row r="11" spans="1:11" ht="43.2" customHeight="1">
      <c r="A11" s="7"/>
      <c r="B11" s="35"/>
      <c r="C11" s="36"/>
      <c r="D11" s="36"/>
      <c r="E11" s="36"/>
      <c r="F11" s="36"/>
      <c r="G11" s="36"/>
      <c r="H11" s="36"/>
      <c r="I11" s="36"/>
      <c r="J11" s="36"/>
      <c r="K11" s="37"/>
    </row>
    <row r="12" spans="1:11" ht="31.8" customHeight="1">
      <c r="A12" s="7"/>
      <c r="B12" s="29" t="s">
        <v>25</v>
      </c>
      <c r="C12" s="29"/>
      <c r="D12" s="29"/>
      <c r="E12" s="29"/>
      <c r="F12" s="29" t="s">
        <v>26</v>
      </c>
      <c r="G12" s="29"/>
      <c r="H12" s="29"/>
      <c r="I12" s="29"/>
      <c r="J12" s="29"/>
      <c r="K12" s="29"/>
    </row>
    <row r="13" spans="1:11" ht="30" customHeight="1">
      <c r="A13" s="7"/>
      <c r="B13" s="29" t="s">
        <v>14</v>
      </c>
      <c r="C13" s="29"/>
      <c r="D13" s="11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25</v>
      </c>
      <c r="E13" s="13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考核:戊</v>
      </c>
      <c r="F13" s="38"/>
      <c r="G13" s="38"/>
      <c r="H13" s="38"/>
      <c r="I13" s="38"/>
      <c r="J13" s="38"/>
      <c r="K13" s="38"/>
    </row>
    <row r="14" spans="1:11" ht="30" customHeight="1">
      <c r="A14" s="7"/>
      <c r="B14" s="29" t="s">
        <v>15</v>
      </c>
      <c r="C14" s="29"/>
      <c r="D14" s="11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25</v>
      </c>
      <c r="E14" s="13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績效:戊</v>
      </c>
      <c r="F14" s="38"/>
      <c r="G14" s="38"/>
      <c r="H14" s="38"/>
      <c r="I14" s="38"/>
      <c r="J14" s="38"/>
      <c r="K14" s="38"/>
    </row>
    <row r="15" spans="1:11" s="14" customFormat="1" ht="19.2" customHeight="1">
      <c r="B15" s="15" t="s">
        <v>27</v>
      </c>
      <c r="C15" s="16"/>
      <c r="D15" s="16"/>
      <c r="E15" s="16"/>
      <c r="F15" s="17"/>
      <c r="G15" s="18"/>
      <c r="H15" s="5"/>
      <c r="I15" s="5"/>
      <c r="J15" s="5"/>
      <c r="K15" s="5"/>
    </row>
    <row r="16" spans="1:11" s="14" customFormat="1">
      <c r="B16" s="15" t="s">
        <v>28</v>
      </c>
      <c r="C16" s="16"/>
      <c r="D16" s="16"/>
      <c r="E16" s="16"/>
      <c r="F16" s="18"/>
      <c r="G16" s="18"/>
      <c r="H16" s="5"/>
      <c r="I16" s="5"/>
      <c r="J16" s="5"/>
      <c r="K16" s="5"/>
    </row>
    <row r="17" spans="2:11" s="14" customFormat="1">
      <c r="B17" s="15" t="s">
        <v>29</v>
      </c>
      <c r="C17" s="16"/>
      <c r="D17" s="16"/>
      <c r="E17" s="16"/>
      <c r="F17" s="18"/>
      <c r="G17" s="18"/>
      <c r="H17" s="5"/>
      <c r="I17" s="5"/>
      <c r="J17" s="5"/>
      <c r="K17" s="5"/>
    </row>
    <row r="18" spans="2:11" s="14" customFormat="1">
      <c r="B18" s="15" t="s">
        <v>30</v>
      </c>
      <c r="C18" s="16"/>
      <c r="D18" s="16"/>
      <c r="E18" s="16"/>
      <c r="F18" s="18"/>
      <c r="G18" s="18"/>
      <c r="H18" s="5"/>
      <c r="I18" s="5"/>
      <c r="J18" s="5"/>
      <c r="K18" s="5"/>
    </row>
    <row r="19" spans="2:11" s="14" customFormat="1">
      <c r="B19" s="15" t="s">
        <v>31</v>
      </c>
      <c r="C19" s="16"/>
      <c r="D19" s="16"/>
      <c r="E19" s="16"/>
      <c r="F19" s="18"/>
      <c r="G19" s="18"/>
      <c r="H19" s="5"/>
      <c r="I19" s="5"/>
      <c r="J19" s="5"/>
      <c r="K19" s="5"/>
    </row>
    <row r="20" spans="2:11" s="14" customFormat="1">
      <c r="B20" s="15" t="s">
        <v>32</v>
      </c>
      <c r="C20" s="16"/>
      <c r="D20" s="16"/>
      <c r="E20" s="16"/>
      <c r="F20" s="18"/>
      <c r="G20" s="18"/>
      <c r="H20" s="5"/>
      <c r="I20" s="5"/>
      <c r="J20" s="5"/>
      <c r="K20" s="5"/>
    </row>
    <row r="21" spans="2:11" s="14" customFormat="1">
      <c r="B21" s="15" t="s">
        <v>33</v>
      </c>
      <c r="C21" s="16"/>
      <c r="D21" s="16"/>
      <c r="E21" s="16"/>
      <c r="F21" s="18"/>
      <c r="G21" s="18"/>
      <c r="H21" s="5"/>
      <c r="I21" s="5"/>
      <c r="J21" s="5"/>
      <c r="K21" s="5"/>
    </row>
    <row r="22" spans="2:11" s="14" customFormat="1">
      <c r="B22" s="15" t="s">
        <v>34</v>
      </c>
      <c r="C22" s="16"/>
      <c r="D22" s="16"/>
      <c r="E22" s="16"/>
      <c r="F22" s="18"/>
      <c r="G22" s="18"/>
      <c r="H22" s="5"/>
      <c r="I22" s="5"/>
      <c r="J22" s="5"/>
      <c r="K22" s="5"/>
    </row>
    <row r="23" spans="2:11" s="14" customFormat="1">
      <c r="B23" s="15"/>
      <c r="C23" s="16"/>
      <c r="D23" s="16"/>
      <c r="E23" s="16"/>
      <c r="F23" s="18"/>
      <c r="G23" s="18"/>
      <c r="H23" s="5"/>
      <c r="I23" s="5"/>
      <c r="J23" s="5"/>
      <c r="K23" s="5"/>
    </row>
    <row r="24" spans="2:11">
      <c r="B24" s="19"/>
    </row>
    <row r="25" spans="2:11">
      <c r="B25" s="19"/>
    </row>
  </sheetData>
  <sheetProtection algorithmName="SHA-512" hashValue="OG7yWK80DdPK3TQwjI3PaNQK+bJsoDVL8H3S5hD1CDK+7GphyYGSphIMHhYKiKEpNWn7jc4sy8IGs4DMkSWifg==" saltValue="4SwpJakn5J/PkUzSOWhRUA==" spinCount="100000" sheet="1" objects="1" scenarios="1" selectLockedCells="1"/>
  <mergeCells count="26">
    <mergeCell ref="B13:C13"/>
    <mergeCell ref="F13:K13"/>
    <mergeCell ref="B14:C14"/>
    <mergeCell ref="F14:K14"/>
    <mergeCell ref="C9:E9"/>
    <mergeCell ref="F9:G9"/>
    <mergeCell ref="B10:G10"/>
    <mergeCell ref="B11:K11"/>
    <mergeCell ref="B12:E12"/>
    <mergeCell ref="F12:K12"/>
    <mergeCell ref="C6:E6"/>
    <mergeCell ref="F6:G6"/>
    <mergeCell ref="C7:E7"/>
    <mergeCell ref="F7:G7"/>
    <mergeCell ref="C8:E8"/>
    <mergeCell ref="F8:G8"/>
    <mergeCell ref="C4:G4"/>
    <mergeCell ref="H4:I4"/>
    <mergeCell ref="J4:K4"/>
    <mergeCell ref="C5:E5"/>
    <mergeCell ref="F5:G5"/>
    <mergeCell ref="B1:K1"/>
    <mergeCell ref="C2:E2"/>
    <mergeCell ref="F2:G2"/>
    <mergeCell ref="H2:K2"/>
    <mergeCell ref="C3:K3"/>
  </mergeCells>
  <phoneticPr fontId="10" type="noConversion"/>
  <dataValidations count="2">
    <dataValidation type="whole" allowBlank="1" showInputMessage="1" showErrorMessage="1" error="請輸入0-100之間" prompt="請輸入0-100之間" sqref="F6" xr:uid="{00C80059-0082-4578-9284-00A0001B00B4}">
      <formula1>0</formula1>
      <formula2>100</formula2>
    </dataValidation>
    <dataValidation type="whole" allowBlank="1" showInputMessage="1" showErrorMessage="1" error="請輸入0-100之間" sqref="F7:F9" xr:uid="{0052006A-009A-4970-A7BA-002B00ED005E}">
      <formula1>0</formula1>
      <formula2>100</formula2>
    </dataValidation>
  </dataValidations>
  <printOptions horizontalCentered="1"/>
  <pageMargins left="3.937007874015748E-2" right="3.937007874015748E-2" top="0.55118110236220474" bottom="0.74803149606299213" header="0.31496062992125984" footer="0.31496062992125984"/>
  <pageSetup paperSize="9" orientation="portrait" useFirstPageNumber="1" horizontalDpi="2147483648" verticalDpi="2147483648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25"/>
  <sheetViews>
    <sheetView topLeftCell="B5" workbookViewId="0">
      <selection activeCell="C3" sqref="C3:K3"/>
    </sheetView>
  </sheetViews>
  <sheetFormatPr defaultColWidth="11.19921875" defaultRowHeight="14.4"/>
  <cols>
    <col min="1" max="1" width="9.765625E-2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2" width="11.19921875" style="1" customWidth="1"/>
    <col min="13" max="16384" width="11.19921875" style="1"/>
  </cols>
  <sheetData>
    <row r="1" spans="1:11" s="6" customFormat="1" ht="36.6" customHeight="1">
      <c r="A1" s="7"/>
      <c r="B1" s="20" t="s">
        <v>0</v>
      </c>
      <c r="C1" s="21"/>
      <c r="D1" s="21"/>
      <c r="E1" s="21"/>
      <c r="F1" s="21"/>
      <c r="G1" s="21"/>
      <c r="H1" s="21"/>
      <c r="I1" s="21"/>
      <c r="J1" s="21"/>
      <c r="K1" s="22"/>
    </row>
    <row r="2" spans="1:11" ht="35.25" customHeight="1">
      <c r="A2" s="7"/>
      <c r="B2" s="8" t="s">
        <v>1</v>
      </c>
      <c r="C2" s="23" t="s">
        <v>52</v>
      </c>
      <c r="D2" s="23"/>
      <c r="E2" s="23"/>
      <c r="F2" s="23" t="s">
        <v>3</v>
      </c>
      <c r="G2" s="23"/>
      <c r="H2" s="23" t="s">
        <v>53</v>
      </c>
      <c r="I2" s="23"/>
      <c r="J2" s="23"/>
      <c r="K2" s="23"/>
    </row>
    <row r="3" spans="1:11" ht="58.8" customHeight="1">
      <c r="A3" s="7"/>
      <c r="B3" s="9" t="s">
        <v>5</v>
      </c>
      <c r="C3" s="24" t="s">
        <v>43</v>
      </c>
      <c r="D3" s="25"/>
      <c r="E3" s="25"/>
      <c r="F3" s="25"/>
      <c r="G3" s="25"/>
      <c r="H3" s="25"/>
      <c r="I3" s="25"/>
      <c r="J3" s="25"/>
      <c r="K3" s="26"/>
    </row>
    <row r="4" spans="1:11" ht="35.25" customHeight="1">
      <c r="A4" s="7"/>
      <c r="B4" s="9" t="s">
        <v>7</v>
      </c>
      <c r="C4" s="27" t="s">
        <v>8</v>
      </c>
      <c r="D4" s="27"/>
      <c r="E4" s="27"/>
      <c r="F4" s="27"/>
      <c r="G4" s="27"/>
      <c r="H4" s="28" t="s">
        <v>9</v>
      </c>
      <c r="I4" s="28"/>
      <c r="J4" s="28" t="s">
        <v>10</v>
      </c>
      <c r="K4" s="28"/>
    </row>
    <row r="5" spans="1:11" ht="30" customHeight="1">
      <c r="A5" s="7"/>
      <c r="B5" s="8" t="s">
        <v>11</v>
      </c>
      <c r="C5" s="29" t="s">
        <v>12</v>
      </c>
      <c r="D5" s="29"/>
      <c r="E5" s="29"/>
      <c r="F5" s="29" t="s">
        <v>13</v>
      </c>
      <c r="G5" s="29"/>
      <c r="H5" s="10" t="s">
        <v>14</v>
      </c>
      <c r="I5" s="10" t="s">
        <v>15</v>
      </c>
      <c r="J5" s="10" t="s">
        <v>14</v>
      </c>
      <c r="K5" s="10" t="s">
        <v>15</v>
      </c>
    </row>
    <row r="6" spans="1:11" ht="64.5" customHeight="1">
      <c r="A6" s="7"/>
      <c r="B6" s="8" t="s">
        <v>16</v>
      </c>
      <c r="C6" s="30" t="s">
        <v>17</v>
      </c>
      <c r="D6" s="30"/>
      <c r="E6" s="30"/>
      <c r="F6" s="29">
        <v>26</v>
      </c>
      <c r="G6" s="29"/>
      <c r="H6" s="12">
        <v>0.3</v>
      </c>
      <c r="I6" s="12">
        <v>0.2</v>
      </c>
      <c r="J6" s="12">
        <v>0.3</v>
      </c>
      <c r="K6" s="12">
        <v>0.25</v>
      </c>
    </row>
    <row r="7" spans="1:11" ht="81" customHeight="1">
      <c r="A7" s="7"/>
      <c r="B7" s="8" t="s">
        <v>18</v>
      </c>
      <c r="C7" s="30" t="s">
        <v>19</v>
      </c>
      <c r="D7" s="30"/>
      <c r="E7" s="30"/>
      <c r="F7" s="29">
        <v>25</v>
      </c>
      <c r="G7" s="29"/>
      <c r="H7" s="12">
        <v>0.3</v>
      </c>
      <c r="I7" s="12">
        <v>0.2</v>
      </c>
      <c r="J7" s="12">
        <v>0.4</v>
      </c>
      <c r="K7" s="12">
        <v>0.25</v>
      </c>
    </row>
    <row r="8" spans="1:11" ht="53.4" customHeight="1">
      <c r="A8" s="7"/>
      <c r="B8" s="8" t="s">
        <v>20</v>
      </c>
      <c r="C8" s="31" t="s">
        <v>21</v>
      </c>
      <c r="D8" s="32"/>
      <c r="E8" s="30"/>
      <c r="F8" s="29">
        <v>8</v>
      </c>
      <c r="G8" s="29"/>
      <c r="H8" s="12">
        <v>0.1</v>
      </c>
      <c r="I8" s="12">
        <v>0.1</v>
      </c>
      <c r="J8" s="12">
        <v>0</v>
      </c>
      <c r="K8" s="12">
        <v>0</v>
      </c>
    </row>
    <row r="9" spans="1:11" ht="40.200000000000003" customHeight="1">
      <c r="A9" s="7"/>
      <c r="B9" s="8" t="s">
        <v>22</v>
      </c>
      <c r="C9" s="30" t="s">
        <v>23</v>
      </c>
      <c r="D9" s="30"/>
      <c r="E9" s="30"/>
      <c r="F9" s="29">
        <v>26</v>
      </c>
      <c r="G9" s="29"/>
      <c r="H9" s="12">
        <v>0.3</v>
      </c>
      <c r="I9" s="12">
        <v>0.5</v>
      </c>
      <c r="J9" s="12">
        <v>0.3</v>
      </c>
      <c r="K9" s="12">
        <v>0.5</v>
      </c>
    </row>
    <row r="10" spans="1:11" ht="50.4" customHeight="1">
      <c r="A10" s="7"/>
      <c r="B10" s="33" t="s">
        <v>24</v>
      </c>
      <c r="C10" s="33"/>
      <c r="D10" s="33"/>
      <c r="E10" s="34"/>
      <c r="F10" s="34"/>
      <c r="G10" s="34"/>
      <c r="H10" s="12">
        <f>SUM(H6:H9)</f>
        <v>1</v>
      </c>
      <c r="I10" s="12">
        <f>SUM(I6:I9)</f>
        <v>1</v>
      </c>
      <c r="J10" s="12">
        <f>SUM(J6:J9)</f>
        <v>1</v>
      </c>
      <c r="K10" s="12">
        <f>SUM(K6:K9)</f>
        <v>1</v>
      </c>
    </row>
    <row r="11" spans="1:11" ht="43.2" customHeight="1">
      <c r="A11" s="7"/>
      <c r="B11" s="35"/>
      <c r="C11" s="36"/>
      <c r="D11" s="36"/>
      <c r="E11" s="36"/>
      <c r="F11" s="36"/>
      <c r="G11" s="36"/>
      <c r="H11" s="36"/>
      <c r="I11" s="36"/>
      <c r="J11" s="36"/>
      <c r="K11" s="37"/>
    </row>
    <row r="12" spans="1:11" ht="31.8" customHeight="1">
      <c r="A12" s="7"/>
      <c r="B12" s="29" t="s">
        <v>25</v>
      </c>
      <c r="C12" s="29"/>
      <c r="D12" s="29"/>
      <c r="E12" s="29"/>
      <c r="F12" s="29" t="s">
        <v>26</v>
      </c>
      <c r="G12" s="29"/>
      <c r="H12" s="29"/>
      <c r="I12" s="29"/>
      <c r="J12" s="29"/>
      <c r="K12" s="29"/>
    </row>
    <row r="13" spans="1:11" ht="30" customHeight="1">
      <c r="A13" s="7"/>
      <c r="B13" s="29" t="s">
        <v>14</v>
      </c>
      <c r="C13" s="29"/>
      <c r="D13" s="11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24</v>
      </c>
      <c r="E13" s="13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考核:戊</v>
      </c>
      <c r="F13" s="38"/>
      <c r="G13" s="38"/>
      <c r="H13" s="38"/>
      <c r="I13" s="38"/>
      <c r="J13" s="38"/>
      <c r="K13" s="38"/>
    </row>
    <row r="14" spans="1:11" ht="30" customHeight="1">
      <c r="A14" s="7"/>
      <c r="B14" s="29" t="s">
        <v>15</v>
      </c>
      <c r="C14" s="29"/>
      <c r="D14" s="11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24</v>
      </c>
      <c r="E14" s="13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績效:戊</v>
      </c>
      <c r="F14" s="38"/>
      <c r="G14" s="38"/>
      <c r="H14" s="38"/>
      <c r="I14" s="38"/>
      <c r="J14" s="38"/>
      <c r="K14" s="38"/>
    </row>
    <row r="15" spans="1:11" s="14" customFormat="1" ht="19.2" customHeight="1">
      <c r="B15" s="15" t="s">
        <v>27</v>
      </c>
      <c r="C15" s="16"/>
      <c r="D15" s="16"/>
      <c r="E15" s="16"/>
      <c r="F15" s="17"/>
      <c r="G15" s="18"/>
      <c r="H15" s="5"/>
      <c r="I15" s="5"/>
      <c r="J15" s="5"/>
      <c r="K15" s="5"/>
    </row>
    <row r="16" spans="1:11" s="14" customFormat="1">
      <c r="B16" s="15" t="s">
        <v>28</v>
      </c>
      <c r="C16" s="16"/>
      <c r="D16" s="16"/>
      <c r="E16" s="16"/>
      <c r="F16" s="18"/>
      <c r="G16" s="18"/>
      <c r="H16" s="5"/>
      <c r="I16" s="5"/>
      <c r="J16" s="5"/>
      <c r="K16" s="5"/>
    </row>
    <row r="17" spans="2:11" s="14" customFormat="1">
      <c r="B17" s="15" t="s">
        <v>29</v>
      </c>
      <c r="C17" s="16"/>
      <c r="D17" s="16"/>
      <c r="E17" s="16"/>
      <c r="F17" s="18"/>
      <c r="G17" s="18"/>
      <c r="H17" s="5"/>
      <c r="I17" s="5"/>
      <c r="J17" s="5"/>
      <c r="K17" s="5"/>
    </row>
    <row r="18" spans="2:11" s="14" customFormat="1">
      <c r="B18" s="15" t="s">
        <v>30</v>
      </c>
      <c r="C18" s="16"/>
      <c r="D18" s="16"/>
      <c r="E18" s="16"/>
      <c r="F18" s="18"/>
      <c r="G18" s="18"/>
      <c r="H18" s="5"/>
      <c r="I18" s="5"/>
      <c r="J18" s="5"/>
      <c r="K18" s="5"/>
    </row>
    <row r="19" spans="2:11" s="14" customFormat="1">
      <c r="B19" s="15" t="s">
        <v>31</v>
      </c>
      <c r="C19" s="16"/>
      <c r="D19" s="16"/>
      <c r="E19" s="16"/>
      <c r="F19" s="18"/>
      <c r="G19" s="18"/>
      <c r="H19" s="5"/>
      <c r="I19" s="5"/>
      <c r="J19" s="5"/>
      <c r="K19" s="5"/>
    </row>
    <row r="20" spans="2:11" s="14" customFormat="1">
      <c r="B20" s="15" t="s">
        <v>32</v>
      </c>
      <c r="C20" s="16"/>
      <c r="D20" s="16"/>
      <c r="E20" s="16"/>
      <c r="F20" s="18"/>
      <c r="G20" s="18"/>
      <c r="H20" s="5"/>
      <c r="I20" s="5"/>
      <c r="J20" s="5"/>
      <c r="K20" s="5"/>
    </row>
    <row r="21" spans="2:11" s="14" customFormat="1">
      <c r="B21" s="15" t="s">
        <v>33</v>
      </c>
      <c r="C21" s="16"/>
      <c r="D21" s="16"/>
      <c r="E21" s="16"/>
      <c r="F21" s="18"/>
      <c r="G21" s="18"/>
      <c r="H21" s="5"/>
      <c r="I21" s="5"/>
      <c r="J21" s="5"/>
      <c r="K21" s="5"/>
    </row>
    <row r="22" spans="2:11" s="14" customFormat="1">
      <c r="B22" s="15" t="s">
        <v>34</v>
      </c>
      <c r="C22" s="16"/>
      <c r="D22" s="16"/>
      <c r="E22" s="16"/>
      <c r="F22" s="18"/>
      <c r="G22" s="18"/>
      <c r="H22" s="5"/>
      <c r="I22" s="5"/>
      <c r="J22" s="5"/>
      <c r="K22" s="5"/>
    </row>
    <row r="23" spans="2:11" s="14" customFormat="1">
      <c r="B23" s="15"/>
      <c r="C23" s="16"/>
      <c r="D23" s="16"/>
      <c r="E23" s="16"/>
      <c r="F23" s="18"/>
      <c r="G23" s="18"/>
      <c r="H23" s="5"/>
      <c r="I23" s="5"/>
      <c r="J23" s="5"/>
      <c r="K23" s="5"/>
    </row>
    <row r="24" spans="2:11">
      <c r="B24" s="19"/>
    </row>
    <row r="25" spans="2:11">
      <c r="B25" s="19"/>
    </row>
  </sheetData>
  <sheetProtection algorithmName="SHA-512" hashValue="OG7yWK80DdPK3TQwjI3PaNQK+bJsoDVL8H3S5hD1CDK+7GphyYGSphIMHhYKiKEpNWn7jc4sy8IGs4DMkSWifg==" saltValue="4SwpJakn5J/PkUzSOWhRUA==" spinCount="100000" sheet="1" objects="1" scenarios="1" selectLockedCells="1"/>
  <mergeCells count="26">
    <mergeCell ref="B13:C13"/>
    <mergeCell ref="F13:K13"/>
    <mergeCell ref="B14:C14"/>
    <mergeCell ref="F14:K14"/>
    <mergeCell ref="C9:E9"/>
    <mergeCell ref="F9:G9"/>
    <mergeCell ref="B10:G10"/>
    <mergeCell ref="B11:K11"/>
    <mergeCell ref="B12:E12"/>
    <mergeCell ref="F12:K12"/>
    <mergeCell ref="C6:E6"/>
    <mergeCell ref="F6:G6"/>
    <mergeCell ref="C7:E7"/>
    <mergeCell ref="F7:G7"/>
    <mergeCell ref="C8:E8"/>
    <mergeCell ref="F8:G8"/>
    <mergeCell ref="C4:G4"/>
    <mergeCell ref="H4:I4"/>
    <mergeCell ref="J4:K4"/>
    <mergeCell ref="C5:E5"/>
    <mergeCell ref="F5:G5"/>
    <mergeCell ref="B1:K1"/>
    <mergeCell ref="C2:E2"/>
    <mergeCell ref="F2:G2"/>
    <mergeCell ref="H2:K2"/>
    <mergeCell ref="C3:K3"/>
  </mergeCells>
  <phoneticPr fontId="10" type="noConversion"/>
  <dataValidations count="2">
    <dataValidation type="whole" allowBlank="1" showInputMessage="1" showErrorMessage="1" error="請輸入0-100之間" prompt="請輸入0-100之間" sqref="F6" xr:uid="{002D0021-007D-45F6-A59B-003700B000A7}">
      <formula1>0</formula1>
      <formula2>100</formula2>
    </dataValidation>
    <dataValidation type="whole" allowBlank="1" showInputMessage="1" showErrorMessage="1" error="請輸入0-100之間" sqref="F7:F9" xr:uid="{00A10088-001C-46EC-B3E1-007100A400D4}">
      <formula1>0</formula1>
      <formula2>100</formula2>
    </dataValidation>
  </dataValidations>
  <printOptions horizontalCentered="1"/>
  <pageMargins left="3.937007874015748E-2" right="3.937007874015748E-2" top="0.55118110236220474" bottom="0.74803149606299213" header="0.31496062992125984" footer="0.31496062992125984"/>
  <pageSetup paperSize="9" orientation="portrait" useFirstPageNumber="1" horizontalDpi="2147483648" verticalDpi="2147483648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25"/>
  <sheetViews>
    <sheetView tabSelected="1" topLeftCell="B2" workbookViewId="0">
      <selection activeCell="F6" sqref="F6:G6"/>
    </sheetView>
  </sheetViews>
  <sheetFormatPr defaultColWidth="11.19921875" defaultRowHeight="14.4"/>
  <cols>
    <col min="1" max="1" width="9.765625E-2" style="1" hidden="1" customWidth="1"/>
    <col min="2" max="2" width="16.69921875" style="2" customWidth="1"/>
    <col min="3" max="3" width="18.59765625" style="2" customWidth="1"/>
    <col min="4" max="4" width="5.5" style="2" hidden="1" customWidth="1"/>
    <col min="5" max="5" width="32" style="3" customWidth="1"/>
    <col min="6" max="6" width="4.69921875" style="4" customWidth="1"/>
    <col min="7" max="7" width="7.59765625" style="4" customWidth="1"/>
    <col min="8" max="10" width="6.59765625" style="5" customWidth="1"/>
    <col min="11" max="11" width="7.09765625" style="5" customWidth="1"/>
    <col min="12" max="12" width="11.19921875" style="1" customWidth="1"/>
    <col min="13" max="16384" width="11.19921875" style="1"/>
  </cols>
  <sheetData>
    <row r="1" spans="1:11" s="6" customFormat="1" ht="36.6" customHeight="1">
      <c r="A1" s="7"/>
      <c r="B1" s="20" t="s">
        <v>0</v>
      </c>
      <c r="C1" s="21"/>
      <c r="D1" s="21"/>
      <c r="E1" s="21"/>
      <c r="F1" s="21"/>
      <c r="G1" s="21"/>
      <c r="H1" s="21"/>
      <c r="I1" s="21"/>
      <c r="J1" s="21"/>
      <c r="K1" s="22"/>
    </row>
    <row r="2" spans="1:11" ht="35.25" customHeight="1">
      <c r="A2" s="7"/>
      <c r="B2" s="8" t="s">
        <v>1</v>
      </c>
      <c r="C2" s="23" t="s">
        <v>54</v>
      </c>
      <c r="D2" s="23"/>
      <c r="E2" s="23"/>
      <c r="F2" s="23" t="s">
        <v>3</v>
      </c>
      <c r="G2" s="23"/>
      <c r="H2" s="23" t="s">
        <v>55</v>
      </c>
      <c r="I2" s="23"/>
      <c r="J2" s="23"/>
      <c r="K2" s="23"/>
    </row>
    <row r="3" spans="1:11" ht="58.8" customHeight="1">
      <c r="A3" s="7"/>
      <c r="B3" s="9" t="s">
        <v>5</v>
      </c>
      <c r="C3" s="24" t="s">
        <v>43</v>
      </c>
      <c r="D3" s="25"/>
      <c r="E3" s="25"/>
      <c r="F3" s="25"/>
      <c r="G3" s="25"/>
      <c r="H3" s="25"/>
      <c r="I3" s="25"/>
      <c r="J3" s="25"/>
      <c r="K3" s="26"/>
    </row>
    <row r="4" spans="1:11" ht="35.25" customHeight="1">
      <c r="A4" s="7"/>
      <c r="B4" s="9" t="s">
        <v>7</v>
      </c>
      <c r="C4" s="27" t="s">
        <v>8</v>
      </c>
      <c r="D4" s="27"/>
      <c r="E4" s="27"/>
      <c r="F4" s="27"/>
      <c r="G4" s="27"/>
      <c r="H4" s="28" t="s">
        <v>9</v>
      </c>
      <c r="I4" s="28"/>
      <c r="J4" s="28" t="s">
        <v>10</v>
      </c>
      <c r="K4" s="28"/>
    </row>
    <row r="5" spans="1:11" ht="30" customHeight="1">
      <c r="A5" s="7"/>
      <c r="B5" s="8" t="s">
        <v>11</v>
      </c>
      <c r="C5" s="29" t="s">
        <v>12</v>
      </c>
      <c r="D5" s="29"/>
      <c r="E5" s="29"/>
      <c r="F5" s="29" t="s">
        <v>13</v>
      </c>
      <c r="G5" s="29"/>
      <c r="H5" s="10" t="s">
        <v>14</v>
      </c>
      <c r="I5" s="10" t="s">
        <v>15</v>
      </c>
      <c r="J5" s="10" t="s">
        <v>14</v>
      </c>
      <c r="K5" s="10" t="s">
        <v>15</v>
      </c>
    </row>
    <row r="6" spans="1:11" ht="64.5" customHeight="1">
      <c r="A6" s="7"/>
      <c r="B6" s="8" t="s">
        <v>16</v>
      </c>
      <c r="C6" s="30" t="s">
        <v>17</v>
      </c>
      <c r="D6" s="30"/>
      <c r="E6" s="30"/>
      <c r="F6" s="29">
        <v>28</v>
      </c>
      <c r="G6" s="29"/>
      <c r="H6" s="12">
        <v>0.3</v>
      </c>
      <c r="I6" s="12">
        <v>0.2</v>
      </c>
      <c r="J6" s="12">
        <v>0.3</v>
      </c>
      <c r="K6" s="12">
        <v>0.25</v>
      </c>
    </row>
    <row r="7" spans="1:11" ht="81" customHeight="1">
      <c r="A7" s="7"/>
      <c r="B7" s="8" t="s">
        <v>18</v>
      </c>
      <c r="C7" s="30" t="s">
        <v>19</v>
      </c>
      <c r="D7" s="30"/>
      <c r="E7" s="30"/>
      <c r="F7" s="29">
        <v>28</v>
      </c>
      <c r="G7" s="29"/>
      <c r="H7" s="12">
        <v>0.3</v>
      </c>
      <c r="I7" s="12">
        <v>0.2</v>
      </c>
      <c r="J7" s="12">
        <v>0.4</v>
      </c>
      <c r="K7" s="12">
        <v>0.25</v>
      </c>
    </row>
    <row r="8" spans="1:11" ht="53.4" customHeight="1">
      <c r="A8" s="7"/>
      <c r="B8" s="8" t="s">
        <v>20</v>
      </c>
      <c r="C8" s="31" t="s">
        <v>21</v>
      </c>
      <c r="D8" s="32"/>
      <c r="E8" s="30"/>
      <c r="F8" s="29">
        <v>9</v>
      </c>
      <c r="G8" s="29"/>
      <c r="H8" s="12">
        <v>0.1</v>
      </c>
      <c r="I8" s="12">
        <v>0.1</v>
      </c>
      <c r="J8" s="12">
        <v>0</v>
      </c>
      <c r="K8" s="12">
        <v>0</v>
      </c>
    </row>
    <row r="9" spans="1:11" ht="40.200000000000003" customHeight="1">
      <c r="A9" s="7"/>
      <c r="B9" s="8" t="s">
        <v>22</v>
      </c>
      <c r="C9" s="30" t="s">
        <v>23</v>
      </c>
      <c r="D9" s="30"/>
      <c r="E9" s="30"/>
      <c r="F9" s="29">
        <v>26</v>
      </c>
      <c r="G9" s="29"/>
      <c r="H9" s="12">
        <v>0.3</v>
      </c>
      <c r="I9" s="12">
        <v>0.5</v>
      </c>
      <c r="J9" s="12">
        <v>0.3</v>
      </c>
      <c r="K9" s="12">
        <v>0.5</v>
      </c>
    </row>
    <row r="10" spans="1:11" ht="50.4" customHeight="1">
      <c r="A10" s="7"/>
      <c r="B10" s="33" t="s">
        <v>24</v>
      </c>
      <c r="C10" s="33"/>
      <c r="D10" s="33"/>
      <c r="E10" s="34"/>
      <c r="F10" s="34"/>
      <c r="G10" s="34"/>
      <c r="H10" s="12">
        <f>SUM(H6:H9)</f>
        <v>1</v>
      </c>
      <c r="I10" s="12">
        <f>SUM(I6:I9)</f>
        <v>1</v>
      </c>
      <c r="J10" s="12">
        <f>SUM(J6:J9)</f>
        <v>1</v>
      </c>
      <c r="K10" s="12">
        <f>SUM(K6:K9)</f>
        <v>1</v>
      </c>
    </row>
    <row r="11" spans="1:11" ht="43.2" customHeight="1">
      <c r="A11" s="7"/>
      <c r="B11" s="35"/>
      <c r="C11" s="36"/>
      <c r="D11" s="36"/>
      <c r="E11" s="36"/>
      <c r="F11" s="36"/>
      <c r="G11" s="36"/>
      <c r="H11" s="36"/>
      <c r="I11" s="36"/>
      <c r="J11" s="36"/>
      <c r="K11" s="37"/>
    </row>
    <row r="12" spans="1:11" ht="31.8" customHeight="1">
      <c r="A12" s="7"/>
      <c r="B12" s="29" t="s">
        <v>25</v>
      </c>
      <c r="C12" s="29"/>
      <c r="D12" s="29"/>
      <c r="E12" s="29"/>
      <c r="F12" s="29" t="s">
        <v>26</v>
      </c>
      <c r="G12" s="29"/>
      <c r="H12" s="29"/>
      <c r="I12" s="29"/>
      <c r="J12" s="29"/>
      <c r="K12" s="29"/>
    </row>
    <row r="13" spans="1:11" ht="30" customHeight="1">
      <c r="A13" s="7"/>
      <c r="B13" s="29" t="s">
        <v>14</v>
      </c>
      <c r="C13" s="29"/>
      <c r="D13" s="11">
        <f>IFERROR(
            IF(
                INDEX(參數!$A:$D, MATCH(C2, 參數!$B:$B, 0), 4) = "員工",
                ROUND(SUM(F6*J6, F7*J7, F8*J8, F9*J9), 0),
                IF(
                    INDEX(參數!$A:$D, MATCH(C2, 參數!$B:$B, 0), 4) = "主管",
                    ROUND(SUM(F6*H6, F7*H7, F8*H8, F9*H9), 0),
                    ""
                )
            ),
            ""
        )</f>
        <v>26</v>
      </c>
      <c r="E13" s="13" t="str">
        <f t="array" ref="E13">IF(AND(ISNUMBER($D$13),$D$13&gt;0),
    IFERROR(
        _xlfn.IFS(
            $D$13&gt;=90,"考核:優",
            $D$13&gt;=80,"考核:甲",
            $D$13&gt;=70,"考核:乙",
            $D$13&gt;=60,"考核:丙",
            $D$13&gt;=50,"考核:丁",
            $D$13&gt;=1,"考核:戊"
        ),
        ""
    ),
    ""
)</f>
        <v>考核:戊</v>
      </c>
      <c r="F13" s="38"/>
      <c r="G13" s="38"/>
      <c r="H13" s="38"/>
      <c r="I13" s="38"/>
      <c r="J13" s="38"/>
      <c r="K13" s="38"/>
    </row>
    <row r="14" spans="1:11" ht="30" customHeight="1">
      <c r="A14" s="7"/>
      <c r="B14" s="29" t="s">
        <v>15</v>
      </c>
      <c r="C14" s="29"/>
      <c r="D14" s="11">
        <f>IFERROR(
        IF(
            INDEX(參數!$A:$D, MATCH(C2, 參數!$B:$B, 0), 4) = "員工",
            ROUND(SUM(F6*K6, F7*K7, F8*K8, F9*K9), 0),
            IF(
                INDEX(參數!$A:$D, MATCH(C2, 參數!$B:$B, 0), 4) = "主管",
                ROUND(SUM(F6*I6, F7*I7, F8*I8, F9*I9), 0),
                ""
            )
        ),
        ""
    )</f>
        <v>25</v>
      </c>
      <c r="E14" s="13" t="str">
        <f t="array" ref="E14">IF(AND(ISNUMBER($D$14),$D$14&gt;0),
    IFERROR(
        _xlfn.IFS(
            $D$14&gt;=90,"績效:優",
            $D$14&gt;=80,"績效:甲",
            $D$14&gt;=70,"績效:乙",
            $D$14&gt;=60,"績效:丙",
            $D$14&gt;=50,"績效:丁",
            $D$14&gt;=1,"績效:戊"
        ),
        ""
    ),
    ""
)</f>
        <v>績效:戊</v>
      </c>
      <c r="F14" s="38"/>
      <c r="G14" s="38"/>
      <c r="H14" s="38"/>
      <c r="I14" s="38"/>
      <c r="J14" s="38"/>
      <c r="K14" s="38"/>
    </row>
    <row r="15" spans="1:11" s="14" customFormat="1" ht="19.2" customHeight="1">
      <c r="B15" s="15" t="s">
        <v>27</v>
      </c>
      <c r="C15" s="16"/>
      <c r="D15" s="16"/>
      <c r="E15" s="16"/>
      <c r="F15" s="17"/>
      <c r="G15" s="18"/>
      <c r="H15" s="5"/>
      <c r="I15" s="5"/>
      <c r="J15" s="5"/>
      <c r="K15" s="5"/>
    </row>
    <row r="16" spans="1:11" s="14" customFormat="1">
      <c r="B16" s="15" t="s">
        <v>28</v>
      </c>
      <c r="C16" s="16"/>
      <c r="D16" s="16"/>
      <c r="E16" s="16"/>
      <c r="F16" s="18"/>
      <c r="G16" s="18"/>
      <c r="H16" s="5"/>
      <c r="I16" s="5"/>
      <c r="J16" s="5"/>
      <c r="K16" s="5"/>
    </row>
    <row r="17" spans="2:11" s="14" customFormat="1">
      <c r="B17" s="15" t="s">
        <v>29</v>
      </c>
      <c r="C17" s="16"/>
      <c r="D17" s="16"/>
      <c r="E17" s="16"/>
      <c r="F17" s="18"/>
      <c r="G17" s="18"/>
      <c r="H17" s="5"/>
      <c r="I17" s="5"/>
      <c r="J17" s="5"/>
      <c r="K17" s="5"/>
    </row>
    <row r="18" spans="2:11" s="14" customFormat="1">
      <c r="B18" s="15" t="s">
        <v>30</v>
      </c>
      <c r="C18" s="16"/>
      <c r="D18" s="16"/>
      <c r="E18" s="16"/>
      <c r="F18" s="18"/>
      <c r="G18" s="18"/>
      <c r="H18" s="5"/>
      <c r="I18" s="5"/>
      <c r="J18" s="5"/>
      <c r="K18" s="5"/>
    </row>
    <row r="19" spans="2:11" s="14" customFormat="1">
      <c r="B19" s="15" t="s">
        <v>31</v>
      </c>
      <c r="C19" s="16"/>
      <c r="D19" s="16"/>
      <c r="E19" s="16"/>
      <c r="F19" s="18"/>
      <c r="G19" s="18"/>
      <c r="H19" s="5"/>
      <c r="I19" s="5"/>
      <c r="J19" s="5"/>
      <c r="K19" s="5"/>
    </row>
    <row r="20" spans="2:11" s="14" customFormat="1">
      <c r="B20" s="15" t="s">
        <v>32</v>
      </c>
      <c r="C20" s="16"/>
      <c r="D20" s="16"/>
      <c r="E20" s="16"/>
      <c r="F20" s="18"/>
      <c r="G20" s="18"/>
      <c r="H20" s="5"/>
      <c r="I20" s="5"/>
      <c r="J20" s="5"/>
      <c r="K20" s="5"/>
    </row>
    <row r="21" spans="2:11" s="14" customFormat="1">
      <c r="B21" s="15" t="s">
        <v>33</v>
      </c>
      <c r="C21" s="16"/>
      <c r="D21" s="16"/>
      <c r="E21" s="16"/>
      <c r="F21" s="18"/>
      <c r="G21" s="18"/>
      <c r="H21" s="5"/>
      <c r="I21" s="5"/>
      <c r="J21" s="5"/>
      <c r="K21" s="5"/>
    </row>
    <row r="22" spans="2:11" s="14" customFormat="1">
      <c r="B22" s="15" t="s">
        <v>34</v>
      </c>
      <c r="C22" s="16"/>
      <c r="D22" s="16"/>
      <c r="E22" s="16"/>
      <c r="F22" s="18"/>
      <c r="G22" s="18"/>
      <c r="H22" s="5"/>
      <c r="I22" s="5"/>
      <c r="J22" s="5"/>
      <c r="K22" s="5"/>
    </row>
    <row r="23" spans="2:11" s="14" customFormat="1">
      <c r="B23" s="15"/>
      <c r="C23" s="16"/>
      <c r="D23" s="16"/>
      <c r="E23" s="16"/>
      <c r="F23" s="18"/>
      <c r="G23" s="18"/>
      <c r="H23" s="5"/>
      <c r="I23" s="5"/>
      <c r="J23" s="5"/>
      <c r="K23" s="5"/>
    </row>
    <row r="24" spans="2:11">
      <c r="B24" s="19"/>
    </row>
    <row r="25" spans="2:11">
      <c r="B25" s="19"/>
    </row>
  </sheetData>
  <sheetProtection algorithmName="SHA-512" hashValue="OG7yWK80DdPK3TQwjI3PaNQK+bJsoDVL8H3S5hD1CDK+7GphyYGSphIMHhYKiKEpNWn7jc4sy8IGs4DMkSWifg==" saltValue="4SwpJakn5J/PkUzSOWhRUA==" spinCount="100000" sheet="1" objects="1" scenarios="1" selectLockedCells="1"/>
  <mergeCells count="26">
    <mergeCell ref="B13:C13"/>
    <mergeCell ref="F13:K13"/>
    <mergeCell ref="B14:C14"/>
    <mergeCell ref="F14:K14"/>
    <mergeCell ref="C9:E9"/>
    <mergeCell ref="F9:G9"/>
    <mergeCell ref="B10:G10"/>
    <mergeCell ref="B11:K11"/>
    <mergeCell ref="B12:E12"/>
    <mergeCell ref="F12:K12"/>
    <mergeCell ref="C6:E6"/>
    <mergeCell ref="F6:G6"/>
    <mergeCell ref="C7:E7"/>
    <mergeCell ref="F7:G7"/>
    <mergeCell ref="C8:E8"/>
    <mergeCell ref="F8:G8"/>
    <mergeCell ref="C4:G4"/>
    <mergeCell ref="H4:I4"/>
    <mergeCell ref="J4:K4"/>
    <mergeCell ref="C5:E5"/>
    <mergeCell ref="F5:G5"/>
    <mergeCell ref="B1:K1"/>
    <mergeCell ref="C2:E2"/>
    <mergeCell ref="F2:G2"/>
    <mergeCell ref="H2:K2"/>
    <mergeCell ref="C3:K3"/>
  </mergeCells>
  <phoneticPr fontId="10" type="noConversion"/>
  <dataValidations count="2">
    <dataValidation type="whole" allowBlank="1" showInputMessage="1" showErrorMessage="1" error="請輸入0-100之間" prompt="請輸入0-100之間" sqref="F6" xr:uid="{00090077-000A-4DAB-8055-00B100290037}">
      <formula1>0</formula1>
      <formula2>100</formula2>
    </dataValidation>
    <dataValidation type="whole" allowBlank="1" showInputMessage="1" showErrorMessage="1" error="請輸入0-100之間" sqref="F7:F9" xr:uid="{00E400BA-0089-4B3D-A704-001F00A200F7}">
      <formula1>0</formula1>
      <formula2>100</formula2>
    </dataValidation>
  </dataValidations>
  <printOptions horizontalCentered="1"/>
  <pageMargins left="3.937007874015748E-2" right="3.937007874015748E-2" top="0.55118110236220474" bottom="0.74803149606299213" header="0.31496062992125984" footer="0.31496062992125984"/>
  <pageSetup paperSize="9" orientation="portrait" useFirstPageNumber="1" horizontalDpi="2147483648" verticalDpi="2147483648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0"/>
  <sheetViews>
    <sheetView workbookViewId="0"/>
  </sheetViews>
  <sheetFormatPr defaultRowHeight="13.8"/>
  <sheetData>
    <row r="1" spans="1:4">
      <c r="A1" t="s">
        <v>56</v>
      </c>
      <c r="B1" t="s">
        <v>2</v>
      </c>
      <c r="C1" t="s">
        <v>4</v>
      </c>
      <c r="D1" t="s">
        <v>9</v>
      </c>
    </row>
    <row r="2" spans="1:4">
      <c r="A2" t="s">
        <v>57</v>
      </c>
      <c r="B2" t="s">
        <v>35</v>
      </c>
      <c r="C2" t="s">
        <v>36</v>
      </c>
      <c r="D2" t="s">
        <v>9</v>
      </c>
    </row>
    <row r="3" spans="1:4">
      <c r="A3" t="s">
        <v>58</v>
      </c>
      <c r="B3" t="s">
        <v>38</v>
      </c>
      <c r="C3" t="s">
        <v>39</v>
      </c>
      <c r="D3" t="s">
        <v>9</v>
      </c>
    </row>
    <row r="4" spans="1:4">
      <c r="A4" t="s">
        <v>59</v>
      </c>
      <c r="B4" t="s">
        <v>41</v>
      </c>
      <c r="C4" t="s">
        <v>42</v>
      </c>
      <c r="D4" t="s">
        <v>9</v>
      </c>
    </row>
    <row r="5" spans="1:4">
      <c r="A5" t="s">
        <v>60</v>
      </c>
      <c r="B5" t="s">
        <v>44</v>
      </c>
      <c r="C5" t="s">
        <v>45</v>
      </c>
      <c r="D5" t="s">
        <v>9</v>
      </c>
    </row>
    <row r="6" spans="1:4">
      <c r="A6" t="s">
        <v>61</v>
      </c>
      <c r="B6" t="s">
        <v>46</v>
      </c>
      <c r="C6" t="s">
        <v>47</v>
      </c>
      <c r="D6" t="s">
        <v>9</v>
      </c>
    </row>
    <row r="7" spans="1:4">
      <c r="A7" t="s">
        <v>62</v>
      </c>
      <c r="B7" t="s">
        <v>48</v>
      </c>
      <c r="C7" t="s">
        <v>49</v>
      </c>
      <c r="D7" t="s">
        <v>9</v>
      </c>
    </row>
    <row r="8" spans="1:4">
      <c r="A8" t="s">
        <v>63</v>
      </c>
      <c r="B8" t="s">
        <v>50</v>
      </c>
      <c r="C8" t="s">
        <v>51</v>
      </c>
      <c r="D8" t="s">
        <v>9</v>
      </c>
    </row>
    <row r="9" spans="1:4">
      <c r="A9" t="s">
        <v>64</v>
      </c>
      <c r="B9" t="s">
        <v>52</v>
      </c>
      <c r="C9" t="s">
        <v>53</v>
      </c>
      <c r="D9" t="s">
        <v>9</v>
      </c>
    </row>
    <row r="10" spans="1:4">
      <c r="A10" t="s">
        <v>65</v>
      </c>
      <c r="B10" t="s">
        <v>54</v>
      </c>
      <c r="C10" t="s">
        <v>55</v>
      </c>
      <c r="D10" t="s">
        <v>9</v>
      </c>
    </row>
  </sheetData>
  <sheetProtection algorithmName="SHA-512" hashValue="XQCrjUyQoYDlqvst25BGgfxGK6o4wl3YZMjR7AlQgGrTnTcwpdwQ8KI3WoQQQVFQOxdnvijh+QfMEtqKjMR/WA==" saltValue="zCOtfsl0F74WDd5C5AM+NA==" spinCount="100000" sheet="1" selectLockedCells="1" selectUnlockedCells="1"/>
  <phoneticPr fontId="10" type="noConversion"/>
  <pageMargins left="0.7" right="0.7" top="0.75" bottom="0.75" header="0.3" footer="0.3"/>
  <pageSetup paperSize="9" orientation="portrait" horizontalDpi="2147483648" verticalDpi="214748364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郭雅男</vt:lpstr>
      <vt:lpstr>鄭穎玲</vt:lpstr>
      <vt:lpstr>黃明田</vt:lpstr>
      <vt:lpstr>洪榆涵</vt:lpstr>
      <vt:lpstr>陳希如</vt:lpstr>
      <vt:lpstr>洪玉映</vt:lpstr>
      <vt:lpstr>粘秋蘭</vt:lpstr>
      <vt:lpstr>李永同</vt:lpstr>
      <vt:lpstr>鄭賜恩</vt:lpstr>
      <vt:lpstr>洪明洲</vt:lpstr>
      <vt:lpstr>參數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revision>3</cp:revision>
  <dcterms:created xsi:type="dcterms:W3CDTF">2015-06-05T18:19:34Z</dcterms:created>
  <dcterms:modified xsi:type="dcterms:W3CDTF">2025-07-25T00:41:25Z</dcterms:modified>
</cp:coreProperties>
</file>