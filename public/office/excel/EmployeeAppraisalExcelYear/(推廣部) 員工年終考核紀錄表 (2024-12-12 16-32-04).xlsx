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worksheets/sheet9.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7"/>
  </bookViews>
  <sheets>
    <sheet name="許富貴" sheetId="1" state="visible" r:id="rId1"/>
    <sheet name="林威任" sheetId="2" state="visible" r:id="rId2"/>
    <sheet name="林佩萱" sheetId="3" state="visible" r:id="rId3"/>
    <sheet name="葉亭葦" sheetId="4" state="visible" r:id="rId4"/>
    <sheet name="黃郁玲" sheetId="5" state="visible" r:id="rId5"/>
    <sheet name="陳婉毓" sheetId="6" state="visible" r:id="rId6"/>
    <sheet name="許依璇" sheetId="7" state="visible" r:id="rId7"/>
    <sheet name="傅暄惠" sheetId="8" state="visible" r:id="rId8"/>
    <sheet name="參數" sheetId="9" state="hidden" r:id="rId9"/>
  </sheets>
  <calcPr/>
</workbook>
</file>

<file path=xl/sharedStrings.xml><?xml version="1.0" encoding="utf-8"?>
<sst xmlns="http://schemas.openxmlformats.org/spreadsheetml/2006/main" count="64" uniqueCount="64">
  <si>
    <t>113年度彰化區漁會年終考核/績效成績表</t>
  </si>
  <si>
    <t>姓名</t>
  </si>
  <si>
    <t>許富貴</t>
  </si>
  <si>
    <t>服務部門</t>
  </si>
  <si>
    <t>推廣部</t>
  </si>
  <si>
    <t>工作內容(必填)</t>
  </si>
  <si>
    <t xml:space="preserve">一、養殖放養量申報計畫、鰻苗回報計畫、休漁獎勵金計畫。二、救生衣補助計畫、刺網實名制、波特船相關業務。三、台61補償專案(公路局)、卸魚聲明書。四、漁船筏執照、船員手冊換發及檢查 (漁業執照、漁筏監理執照、小船執照、變更引擎、變更船員、保留汰建權、汰建新船筏、娛樂漁船）。五、國軍射擊及航行避險公告。</t>
  </si>
  <si>
    <t>考核期間</t>
  </si>
  <si>
    <t>113年O1月至12月</t>
  </si>
  <si>
    <t>主管</t>
  </si>
  <si>
    <t>員工</t>
  </si>
  <si>
    <t xml:space="preserve">考 核 項 目</t>
  </si>
  <si>
    <t>考核內容</t>
  </si>
  <si>
    <t>分數(0~100)</t>
  </si>
  <si>
    <t>考核</t>
  </si>
  <si>
    <t>績效</t>
  </si>
  <si>
    <t xml:space="preserve">工作知能及
公文績效</t>
  </si>
  <si>
    <r>
      <rPr>
        <sz val="11"/>
        <rFont val="標楷體"/>
      </rPr>
      <t>嫻熟工作相關專業知識，對於承辦業務能提出具體改進措施，或簡化工作流程，提升效能效率，增進工作績效</t>
    </r>
    <r>
      <rPr>
        <sz val="11"/>
        <color theme="1"/>
        <rFont val="標楷體"/>
      </rPr>
      <t>。公文處理均能掌握品質及時效，臨時交辦案件亦能依限完成。</t>
    </r>
  </si>
  <si>
    <t>服務態度、工作積極及品德操守</t>
  </si>
  <si>
    <t xml:space="preserve">負責盡職，積極辦理業務，落實顧客導向，提升服務品質。發揮團隊精神，對於工作與職務調整，及與他人協調合作，能優先考量組織目標之達成。
公正和藹，保守秘密，謹慎勤勉，誠實廉潔，無奢侈、放蕩、冶遊、賭博及其他有害聲譽之行為。</t>
  </si>
  <si>
    <r>
      <rPr>
        <sz val="11"/>
        <rFont val="標楷體"/>
      </rPr>
      <t xml:space="preserve">領導協調
能力</t>
    </r>
    <r>
      <rPr>
        <sz val="11"/>
        <color indexed="2"/>
        <rFont val="標楷體"/>
      </rPr>
      <t xml:space="preserve">(主管職務)   </t>
    </r>
  </si>
  <si>
    <t>具判斷決策溝通協調能力，並能傳授知識、經驗、技能，適當指導同仁，且經常檢討工作計畫執行情形，達成預定績效目標。</t>
  </si>
  <si>
    <t>年度目標達成度</t>
  </si>
  <si>
    <r>
      <rPr>
        <sz val="11"/>
        <color rgb="FF0070C0"/>
        <rFont val="標楷體"/>
      </rPr>
      <t>達成漁會訂定之目標值或成效</t>
    </r>
    <r>
      <rPr>
        <sz val="11"/>
        <color theme="1"/>
        <rFont val="標楷體"/>
      </rPr>
      <t>，如期完成或較預定進度超前，充分達成計畫目標，績效卓著。</t>
    </r>
  </si>
  <si>
    <r>
      <rPr>
        <sz val="11"/>
        <rFont val="標楷體"/>
      </rPr>
      <t xml:space="preserve">個人重大具體優劣事蹟(受考人如有工作、操行、學識、才能等重大具體優劣事蹟，足資紀錄者，應填於本欄 ，以作為考評之重要參據。)
或</t>
    </r>
    <r>
      <rPr>
        <sz val="11"/>
        <color indexed="2"/>
        <rFont val="標楷體"/>
      </rPr>
      <t>主管評定優等或丙等(含)以下應加敘事由或事蹟</t>
    </r>
  </si>
  <si>
    <t xml:space="preserve">單位主管評定等級及分數 (請簽章)</t>
  </si>
  <si>
    <t xml:space="preserve">總幹事綜合考評 (請簽章)</t>
  </si>
  <si>
    <r>
      <rPr/>
      <t xml:space="preserve">附註 :  一</t>
    </r>
    <r>
      <rPr>
        <sz val="6"/>
        <color theme="1"/>
        <rFont val="微軟正黑體"/>
      </rPr>
      <t xml:space="preserve">  </t>
    </r>
    <r>
      <rPr>
        <sz val="11"/>
        <color theme="1"/>
        <rFont val="微軟正黑體"/>
      </rPr>
      <t>、依據漁會人事管理辦法第54條規定訂定，但各漁會得視業務特性及需要自行訂定。</t>
    </r>
  </si>
  <si>
    <t xml:space="preserve">           二 、平時考核紀錄等級分為6級，平時考核紀錄等級分述如下:</t>
  </si>
  <si>
    <t xml:space="preserve">                    優:90-99(表現優異，足為同仁表率。)</t>
  </si>
  <si>
    <t xml:space="preserve">                    甲:80-89(表現明顯地超出該職責的要求水準。)</t>
  </si>
  <si>
    <t xml:space="preserve">                    乙:70-79(表現均能達到要求水準。)</t>
  </si>
  <si>
    <t xml:space="preserve">                    丙:60-69(表現未盡符合基本要求。)</t>
  </si>
  <si>
    <t xml:space="preserve">                    丁:50-59(表現多未達基本要求，經勸導仍未改進者。)</t>
  </si>
  <si>
    <t xml:space="preserve">                    戊:40-49(無故曠工。)</t>
  </si>
  <si>
    <t>林威任</t>
  </si>
  <si>
    <t>一、螻蛄蝦保育區維護管理計畫、螻蛄蝦資源生態環境保育維護計畫。二、封溪護魚河段巡護計畫、剖蚵場計畫。三、天然災害查報審查及救助、環保艦隊、海洋巡守隊、中區水汙染防治。四、離岸風力漁民轉型輔導(CTV)、海域生態資源維護培育(台電一期海洋牧場)。五、蚵車監理執照及蚵車牌照申換。六、烏魚回報。</t>
  </si>
  <si>
    <t xml:space="preserve">一、執行112年環保艦隊計畫榮獲最佳推手獎。 
</t>
  </si>
  <si>
    <t>林佩萱</t>
  </si>
  <si>
    <t>一、辦理綠照站、高齡班、槌球班業務。二、辦理志工聯繫業務。</t>
  </si>
  <si>
    <t>一、輔導家政班歐陽麗雲與綠色照顧站蔡阿秀榮獲衛生福利部國民健康署2024銀領新食尚銀養創新料理社會組佳作。</t>
  </si>
  <si>
    <t>葉亭葦</t>
  </si>
  <si>
    <t>一、固定式及攜帶式船舶自動識別系統(AIS)補助計畫。二、全國漁會漁船救難及漁民救難獎勵金申請。三、漁電共生及太陽光電業務、白海豚巡護艦隊合作計畫。四、協辦離岸風力漁民轉型輔導(CTV)、海域生態資源維護培育(台電一期海洋牧場)。五、辦理各項離岸風力發電會議及委員會、財團法人彰化縣離岸風電漁業共榮基金會。</t>
  </si>
  <si>
    <t>一、執行本會電協金審查管理委員會及各項離岸風電相關業務，協助擬訂設置要點及注意事項，成功建立完善申請及審查流程，績效良好。</t>
  </si>
  <si>
    <t>黃郁玲</t>
  </si>
  <si>
    <t>一、漁事產銷班推廣輔導計畫。二、契作設備提升計畫及其漁業產銷班設施計畫。三、漁船保險業務。四、漁業文化展示館導覽。五、魚苗放流及調查。</t>
  </si>
  <si>
    <t>一、輔導漁青楊宜樺榮獲113年全國模範漁民。二、協助輔導漁青薛雍霖榮獲第34屆全國十大神農。三、辦理112年漁船(筏)主投保漁船保險業務績效全國第一名。</t>
  </si>
  <si>
    <t>陳婉毓</t>
  </si>
  <si>
    <t>一、執行113年度漁村青少年技藝傳承推廣教育計畫。二、潮間帶雜誌計畫。三、船員訓練報名事宜。四、理事會、主管會報、事業計畫、事業報告、代表大會、小組長座談會等各項資料彙整。</t>
  </si>
  <si>
    <t>一、協助彙整112年度漁村青少年技藝傳承推廣教育計畫成果報告，獲評鑑為全國第一名。二、辦理113年漁村青少年技藝傳承推廣教育計畫-食魚教育作業組競賽，榮獲第二名。</t>
  </si>
  <si>
    <t>許依璇</t>
  </si>
  <si>
    <t>一、執行暖心計畫。二、協辦綠照站、高齡班、槌球班業務。三、協辦漁船保險業務。四、推廣部公文收發業務。</t>
  </si>
  <si>
    <t>一、協助輔導家政班歐陽麗雲與綠色照顧站蔡阿秀榮獲衛生福利部國民健康署2024銀領新食尚銀養創新料理社會組佳作。</t>
  </si>
  <si>
    <t>傅暄惠</t>
  </si>
  <si>
    <t>一、執行113年度漁村技藝培育推廣教育計畫。二、田媽媽計畫。三、年度月曆製作。</t>
  </si>
  <si>
    <t>一、執行112年度漁村技藝培育推廣教育計畫獲評鑑為全國第一名。二、辦理113年度漁村家政培育推廣教育計畫-學校午餐國產魚料理競賽，榮獲第二名。三、輔導10班家政班建立團隊和諧及漁會向心力，深獲好評。四、犧牲夜間及休假日執行家政推廣業務，備極辛勞，值得鼓勵。</t>
  </si>
  <si>
    <t>0018</t>
  </si>
  <si>
    <t>0166</t>
  </si>
  <si>
    <t>0154</t>
  </si>
  <si>
    <t>0021</t>
  </si>
  <si>
    <t>0020</t>
  </si>
  <si>
    <t>0160</t>
  </si>
  <si>
    <t>0173</t>
  </si>
  <si>
    <t>0087</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</si>
</sst>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8">
    <font>
      <sz val="11.000000"/>
      <color theme="1"/>
      <name val="Calibri"/>
      <scheme val="minor"/>
    </font>
    <font>
      <sz val="11.000000"/>
      <color theme="1"/>
      <name val="微軟正黑體"/>
    </font>
    <font>
      <b/>
      <sz val="16.000000"/>
      <color theme="1"/>
      <name val="標楷體"/>
    </font>
    <font>
      <sz val="11.000000"/>
      <color theme="1"/>
      <name val="標楷體"/>
    </font>
    <font>
      <sz val="11.000000"/>
      <color indexed="2"/>
      <name val="標楷體"/>
    </font>
    <font>
      <sz val="11.000000"/>
      <color theme="1"/>
      <name val="Microsoft JhengHei"/>
    </font>
    <font>
      <sz val="11.000000"/>
      <color theme="1"/>
      <name val="Arial Unicode MS"/>
    </font>
    <font>
      <sz val="11.000000"/>
      <name val="標楷體"/>
    </font>
  </fonts>
  <fills count="4">
    <fill>
      <patternFill patternType="none"/>
    </fill>
    <fill>
      <patternFill patternType="gray125"/>
    </fill>
    <fill>
      <patternFill patternType="solid">
        <fgColor theme="0" tint="-0.049989318521683403"/>
        <bgColor theme="0" tint="-0.049989318521683403"/>
      </patternFill>
    </fill>
    <fill>
      <patternFill patternType="solid">
        <fgColor theme="9" tint="0.79998168889431442"/>
        <bgColor theme="9" tint="0.79998168889431442"/>
      </patternFill>
    </fill>
  </fills>
  <borders count="6">
    <border>
      <left style="none"/>
      <right style="none"/>
      <top style="none"/>
      <bottom style="none"/>
      <diagonal style="none"/>
    </border>
    <border>
      <left style="none"/>
      <right style="none"/>
      <top style="thin">
        <color auto="1"/>
      </top>
      <bottom style="none"/>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s>
  <cellStyleXfs count="1">
    <xf fontId="0" fillId="0" borderId="0" numFmtId="0" applyNumberFormat="1" applyFont="1" applyFill="1" applyBorder="1"/>
  </cellStyleXfs>
  <cellXfs count="37">
    <xf fontId="0" fillId="0" borderId="0" numFmtId="0" xfId="0"/>
    <xf fontId="0" fillId="0" borderId="0" numFmtId="0" xfId="0"/>
    <xf fontId="1" fillId="0" borderId="0" numFmtId="0" xfId="0" applyFont="1" applyAlignment="1" applyProtection="1">
      <alignment horizontal="center" vertical="center" wrapText="1"/>
      <protection locked="0"/>
    </xf>
    <xf fontId="1" fillId="0" borderId="0" numFmtId="0" xfId="0" applyFont="1" applyAlignment="1" applyProtection="1">
      <alignment horizontal="left" vertical="top"/>
      <protection locked="0"/>
    </xf>
    <xf fontId="1" fillId="0" borderId="0" numFmtId="0" xfId="0" applyFont="1" applyProtection="1">
      <protection locked="0"/>
    </xf>
    <xf fontId="0" fillId="0" borderId="0" numFmtId="0" xfId="0" applyAlignment="1" applyProtection="1">
      <alignment horizontal="center"/>
      <protection locked="0"/>
    </xf>
    <xf fontId="0" fillId="0" borderId="1" numFmtId="0" xfId="0" applyBorder="1"/>
    <xf fontId="0" fillId="0" borderId="2" numFmtId="0" xfId="0" applyBorder="1" applyProtection="1">
      <protection locked="0"/>
    </xf>
    <xf fontId="2" fillId="0" borderId="3" numFmtId="0" xfId="0" applyFont="1" applyBorder="1" applyAlignment="1" applyProtection="1">
      <alignment horizontal="center" vertical="center" wrapText="1"/>
      <protection locked="0"/>
    </xf>
    <xf fontId="2" fillId="0" borderId="4" numFmtId="0" xfId="0" applyFont="1" applyBorder="1" applyAlignment="1" applyProtection="1">
      <alignment horizontal="center" vertical="center" wrapText="1"/>
      <protection locked="0"/>
    </xf>
    <xf fontId="2" fillId="0" borderId="5" numFmtId="0" xfId="0" applyFont="1" applyBorder="1" applyAlignment="1" applyProtection="1">
      <alignment horizontal="center" vertical="center" wrapText="1"/>
      <protection locked="0"/>
    </xf>
    <xf fontId="3" fillId="0" borderId="2" numFmtId="0" xfId="0" applyFont="1" applyBorder="1" applyAlignment="1" applyProtection="1">
      <alignment horizontal="center" vertical="center" wrapText="1"/>
      <protection locked="0"/>
    </xf>
    <xf fontId="4" fillId="2" borderId="2" numFmtId="0" xfId="0" applyFont="1" applyFill="1" applyBorder="1" applyAlignment="1" applyProtection="1">
      <alignment horizontal="center" vertical="center" wrapText="1"/>
      <protection locked="0"/>
    </xf>
    <xf fontId="3" fillId="2" borderId="3" numFmtId="0" xfId="0" applyFont="1" applyFill="1" applyBorder="1" applyAlignment="1" applyProtection="1">
      <alignment horizontal="left" vertical="top" wrapText="1"/>
      <protection locked="0"/>
    </xf>
    <xf fontId="3" fillId="2" borderId="4" numFmtId="0" xfId="0" applyFont="1" applyFill="1" applyBorder="1" applyAlignment="1" applyProtection="1">
      <alignment horizontal="left" vertical="top" wrapText="1"/>
      <protection locked="0"/>
    </xf>
    <xf fontId="3" fillId="2" borderId="5" numFmtId="0" xfId="0" applyFont="1" applyFill="1" applyBorder="1" applyAlignment="1" applyProtection="1">
      <alignment horizontal="left" vertical="top" wrapText="1"/>
      <protection locked="0"/>
    </xf>
    <xf fontId="5" fillId="0" borderId="2" numFmtId="0" xfId="0" applyFont="1" applyBorder="1" applyAlignment="1" applyProtection="1">
      <alignment horizontal="center" vertical="center"/>
      <protection locked="0"/>
    </xf>
    <xf fontId="3" fillId="0" borderId="2" numFmtId="0" xfId="0" applyFont="1" applyBorder="1" applyAlignment="1" applyProtection="1">
      <alignment horizontal="center" vertical="center"/>
      <protection locked="0"/>
    </xf>
    <xf fontId="3" fillId="0" borderId="2" numFmtId="0" xfId="0" applyFont="1" applyBorder="1" applyAlignment="1" applyProtection="1">
      <alignment vertical="center" wrapText="1"/>
      <protection locked="0"/>
    </xf>
    <xf fontId="6" fillId="3" borderId="2" numFmtId="9" xfId="0" applyNumberFormat="1" applyFont="1" applyFill="1" applyBorder="1" applyAlignment="1">
      <alignment horizontal="center" vertical="center"/>
    </xf>
    <xf fontId="7" fillId="0" borderId="2" numFmtId="0" xfId="0" applyFont="1" applyBorder="1" applyAlignment="1" applyProtection="1">
      <alignment vertical="center" wrapText="1"/>
      <protection locked="0"/>
    </xf>
    <xf fontId="4" fillId="0" borderId="2" numFmtId="0" xfId="0" applyFont="1" applyBorder="1" applyAlignment="1" applyProtection="1">
      <alignment vertical="center" wrapText="1"/>
      <protection locked="0"/>
    </xf>
    <xf fontId="3" fillId="0" borderId="2" numFmtId="0" xfId="0" applyFont="1" applyBorder="1" applyAlignment="1" applyProtection="1">
      <alignment horizontal="left" vertical="center" wrapText="1"/>
      <protection locked="0"/>
    </xf>
    <xf fontId="3" fillId="0" borderId="2" numFmtId="0" xfId="0" applyFont="1" applyBorder="1" applyAlignment="1" applyProtection="1">
      <alignment horizontal="left" vertical="center"/>
      <protection locked="0"/>
    </xf>
    <xf fontId="7" fillId="2" borderId="3" numFmtId="0" xfId="0" applyFont="1" applyFill="1" applyBorder="1" applyAlignment="1" applyProtection="1">
      <alignment horizontal="left" vertical="top" wrapText="1"/>
      <protection locked="0"/>
    </xf>
    <xf fontId="7" fillId="2" borderId="4" numFmtId="0" xfId="0" applyFont="1" applyFill="1" applyBorder="1" applyAlignment="1" applyProtection="1">
      <alignment horizontal="left" vertical="top" wrapText="1"/>
      <protection locked="0"/>
    </xf>
    <xf fontId="7" fillId="2" borderId="5" numFmtId="0" xfId="0" applyFont="1" applyFill="1" applyBorder="1" applyAlignment="1" applyProtection="1">
      <alignment horizontal="left" vertical="top" wrapText="1"/>
      <protection locked="0"/>
    </xf>
    <xf fontId="3" fillId="0" borderId="2" numFmtId="0" xfId="0" applyFont="1" applyBorder="1" applyAlignment="1">
      <alignment horizontal="center" vertical="center"/>
    </xf>
    <xf fontId="4" fillId="0" borderId="2" numFmtId="0" xfId="0" applyFont="1" applyBorder="1" applyAlignment="1">
      <alignment horizontal="left" indent="1" vertical="center"/>
    </xf>
    <xf fontId="4" fillId="0" borderId="2" numFmtId="0" xfId="0" applyFont="1" applyBorder="1" applyAlignment="1" applyProtection="1">
      <alignment horizontal="center" vertical="center"/>
      <protection locked="0"/>
    </xf>
    <xf fontId="0" fillId="0" borderId="0" numFmtId="0" xfId="0" applyAlignment="1">
      <alignment horizontal="left"/>
    </xf>
    <xf fontId="0" fillId="0" borderId="0" numFmtId="0" xfId="0" applyAlignment="1" applyProtection="1">
      <alignment horizontal="left"/>
      <protection locked="0"/>
    </xf>
    <xf fontId="1" fillId="0" borderId="0" numFmtId="0" xfId="0" applyFont="1" applyAlignment="1" applyProtection="1">
      <alignment horizontal="left" vertical="center"/>
      <protection locked="0"/>
    </xf>
    <xf fontId="1" fillId="0" borderId="0" numFmtId="0" xfId="0" applyFont="1" applyAlignment="1" applyProtection="1">
      <alignment horizontal="left" vertical="center" wrapText="1"/>
      <protection locked="0"/>
    </xf>
    <xf fontId="1" fillId="0" borderId="0" numFmtId="0" xfId="0" applyFont="1" applyAlignment="1" applyProtection="1">
      <alignment horizontal="left" wrapText="1"/>
      <protection locked="0"/>
    </xf>
    <xf fontId="1" fillId="0" borderId="0" numFmtId="0" xfId="0" applyFont="1" applyAlignment="1" applyProtection="1">
      <alignment horizontal="left"/>
      <protection locked="0"/>
    </xf>
    <xf fontId="1" fillId="0" borderId="0" numFmtId="0" xfId="0" applyFont="1" applyAlignment="1" applyProtection="1">
      <alignmen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theme" Target="theme/theme1.xml"/><Relationship  Id="rId11"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2</v>
      </c>
      <c r="D2" s="11"/>
      <c r="E2" s="11"/>
      <c r="F2" s="11" t="s">
        <v>3</v>
      </c>
      <c r="G2" s="11"/>
      <c r="H2" s="11" t="s">
        <v>4</v>
      </c>
      <c r="I2" s="11"/>
      <c r="J2" s="11"/>
      <c r="K2" s="11"/>
    </row>
    <row r="3" ht="58.799999999999997" customHeight="1">
      <c r="A3" s="7"/>
      <c r="B3" s="12" t="s">
        <v>5</v>
      </c>
      <c r="C3" s="13" t="s">
        <v>6</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88</v>
      </c>
      <c r="G6" s="17"/>
      <c r="H6" s="19">
        <v>0.29999999999999999</v>
      </c>
      <c r="I6" s="19">
        <v>0.20000000000000001</v>
      </c>
      <c r="J6" s="19">
        <v>0.29999999999999999</v>
      </c>
      <c r="K6" s="19">
        <v>0.25</v>
      </c>
    </row>
    <row r="7" ht="81" customHeight="1">
      <c r="A7" s="7"/>
      <c r="B7" s="11" t="s">
        <v>18</v>
      </c>
      <c r="C7" s="18" t="s">
        <v>19</v>
      </c>
      <c r="D7" s="18"/>
      <c r="E7" s="18"/>
      <c r="F7" s="17">
        <v>85</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86</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86</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86</v>
      </c>
      <c r="E14" s="28" t="str">
        <f t="array" ref="E14">IF(AND(ISNUMBER($D$14),$D$14&gt;0),
    IFERROR(
        _xlfn.IFS(
            $D$14&gt;=90,"績效:優",
            $D$14&gt;=80,"績效:甲",
            $D$14&gt;=70,"績效:乙",
            $D$14&gt;=60,"績效:丙",
            $D$14&gt;=50,"績效:丁",
            $D$14&gt;=1,"績效:戊"
        ),
        ""
    ),
    ""
)</f>
        <v>績效:甲</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5F0024-0070-4A61-8295-003B00070098}"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74006D-004F-4F24-846E-000500350013}"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35</v>
      </c>
      <c r="D2" s="11"/>
      <c r="E2" s="11"/>
      <c r="F2" s="11" t="s">
        <v>3</v>
      </c>
      <c r="G2" s="11"/>
      <c r="H2" s="11" t="s">
        <v>4</v>
      </c>
      <c r="I2" s="11"/>
      <c r="J2" s="11"/>
      <c r="K2" s="11"/>
    </row>
    <row r="3" ht="58.799999999999997" customHeight="1">
      <c r="A3" s="7"/>
      <c r="B3" s="12" t="s">
        <v>5</v>
      </c>
      <c r="C3" s="13" t="s">
        <v>36</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87</v>
      </c>
      <c r="G6" s="17"/>
      <c r="H6" s="19">
        <v>0.29999999999999999</v>
      </c>
      <c r="I6" s="19">
        <v>0.20000000000000001</v>
      </c>
      <c r="J6" s="19">
        <v>0.29999999999999999</v>
      </c>
      <c r="K6" s="19">
        <v>0.25</v>
      </c>
    </row>
    <row r="7" ht="81" customHeight="1">
      <c r="A7" s="7"/>
      <c r="B7" s="11" t="s">
        <v>18</v>
      </c>
      <c r="C7" s="18" t="s">
        <v>19</v>
      </c>
      <c r="D7" s="18"/>
      <c r="E7" s="18"/>
      <c r="F7" s="17">
        <v>88</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88</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t="s">
        <v>37</v>
      </c>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88</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88</v>
      </c>
      <c r="E14" s="28" t="str">
        <f t="array" ref="E14">IF(AND(ISNUMBER($D$14),$D$14&gt;0),
    IFERROR(
        _xlfn.IFS(
            $D$14&gt;=90,"績效:優",
            $D$14&gt;=80,"績效:甲",
            $D$14&gt;=70,"績效:乙",
            $D$14&gt;=60,"績效:丙",
            $D$14&gt;=50,"績效:丁",
            $D$14&gt;=1,"績效:戊"
        ),
        ""
    ),
    ""
)</f>
        <v>績效:甲</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790059-0064-4C40-9585-001300250015}"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2F0037-008F-4B97-9900-0026001A000C}"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38</v>
      </c>
      <c r="D2" s="11"/>
      <c r="E2" s="11"/>
      <c r="F2" s="11" t="s">
        <v>3</v>
      </c>
      <c r="G2" s="11"/>
      <c r="H2" s="11" t="s">
        <v>4</v>
      </c>
      <c r="I2" s="11"/>
      <c r="J2" s="11"/>
      <c r="K2" s="11"/>
    </row>
    <row r="3" ht="58.799999999999997" customHeight="1">
      <c r="A3" s="7"/>
      <c r="B3" s="12" t="s">
        <v>5</v>
      </c>
      <c r="C3" s="13" t="s">
        <v>39</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87</v>
      </c>
      <c r="G6" s="17"/>
      <c r="H6" s="19">
        <v>0.29999999999999999</v>
      </c>
      <c r="I6" s="19">
        <v>0.20000000000000001</v>
      </c>
      <c r="J6" s="19">
        <v>0.29999999999999999</v>
      </c>
      <c r="K6" s="19">
        <v>0.25</v>
      </c>
    </row>
    <row r="7" ht="81" customHeight="1">
      <c r="A7" s="7"/>
      <c r="B7" s="11" t="s">
        <v>18</v>
      </c>
      <c r="C7" s="18" t="s">
        <v>19</v>
      </c>
      <c r="D7" s="18"/>
      <c r="E7" s="18"/>
      <c r="F7" s="17">
        <v>88</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86</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t="s">
        <v>40</v>
      </c>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87</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87</v>
      </c>
      <c r="E14" s="28" t="str">
        <f t="array" ref="E14">IF(AND(ISNUMBER($D$14),$D$14&gt;0),
    IFERROR(
        _xlfn.IFS(
            $D$14&gt;=90,"績效:優",
            $D$14&gt;=80,"績效:甲",
            $D$14&gt;=70,"績效:乙",
            $D$14&gt;=60,"績效:丙",
            $D$14&gt;=50,"績效:丁",
            $D$14&gt;=1,"績效:戊"
        ),
        ""
    ),
    ""
)</f>
        <v>績效:甲</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F60057-00FA-4EE3-9741-00D600720096}"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C200C8-0072-47AC-983D-0004005D002F}"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41</v>
      </c>
      <c r="D2" s="11"/>
      <c r="E2" s="11"/>
      <c r="F2" s="11" t="s">
        <v>3</v>
      </c>
      <c r="G2" s="11"/>
      <c r="H2" s="11" t="s">
        <v>4</v>
      </c>
      <c r="I2" s="11"/>
      <c r="J2" s="11"/>
      <c r="K2" s="11"/>
    </row>
    <row r="3" ht="58.799999999999997" customHeight="1">
      <c r="A3" s="7"/>
      <c r="B3" s="12" t="s">
        <v>5</v>
      </c>
      <c r="C3" s="13" t="s">
        <v>42</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89</v>
      </c>
      <c r="G6" s="17"/>
      <c r="H6" s="19">
        <v>0.29999999999999999</v>
      </c>
      <c r="I6" s="19">
        <v>0.20000000000000001</v>
      </c>
      <c r="J6" s="19">
        <v>0.29999999999999999</v>
      </c>
      <c r="K6" s="19">
        <v>0.25</v>
      </c>
    </row>
    <row r="7" ht="81" customHeight="1">
      <c r="A7" s="7"/>
      <c r="B7" s="11" t="s">
        <v>18</v>
      </c>
      <c r="C7" s="18" t="s">
        <v>19</v>
      </c>
      <c r="D7" s="18"/>
      <c r="E7" s="18"/>
      <c r="F7" s="17">
        <v>89</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90</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t="s">
        <v>43</v>
      </c>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89</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90</v>
      </c>
      <c r="E14" s="28" t="str">
        <f t="array" ref="E14">IF(AND(ISNUMBER($D$14),$D$14&gt;0),
    IFERROR(
        _xlfn.IFS(
            $D$14&gt;=90,"績效:優",
            $D$14&gt;=80,"績效:甲",
            $D$14&gt;=70,"績效:乙",
            $D$14&gt;=60,"績效:丙",
            $D$14&gt;=50,"績效:丁",
            $D$14&gt;=1,"績效:戊"
        ),
        ""
    ),
    ""
)</f>
        <v>績效:優</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4C0050-004C-453F-8BD9-00F300DB0097}"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9C002C-007A-4C06-A9BA-004300770066}"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44</v>
      </c>
      <c r="D2" s="11"/>
      <c r="E2" s="11"/>
      <c r="F2" s="11" t="s">
        <v>3</v>
      </c>
      <c r="G2" s="11"/>
      <c r="H2" s="11" t="s">
        <v>4</v>
      </c>
      <c r="I2" s="11"/>
      <c r="J2" s="11"/>
      <c r="K2" s="11"/>
    </row>
    <row r="3" ht="58.799999999999997" customHeight="1">
      <c r="A3" s="7"/>
      <c r="B3" s="12" t="s">
        <v>5</v>
      </c>
      <c r="C3" s="13" t="s">
        <v>45</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90</v>
      </c>
      <c r="G6" s="17"/>
      <c r="H6" s="19">
        <v>0.29999999999999999</v>
      </c>
      <c r="I6" s="19">
        <v>0.20000000000000001</v>
      </c>
      <c r="J6" s="19">
        <v>0.29999999999999999</v>
      </c>
      <c r="K6" s="19">
        <v>0.25</v>
      </c>
    </row>
    <row r="7" ht="81" customHeight="1">
      <c r="A7" s="7"/>
      <c r="B7" s="11" t="s">
        <v>18</v>
      </c>
      <c r="C7" s="18" t="s">
        <v>19</v>
      </c>
      <c r="D7" s="18"/>
      <c r="E7" s="18"/>
      <c r="F7" s="17">
        <v>88</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90</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t="s">
        <v>46</v>
      </c>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89</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90</v>
      </c>
      <c r="E14" s="28" t="str">
        <f t="array" ref="E14">IF(AND(ISNUMBER($D$14),$D$14&gt;0),
    IFERROR(
        _xlfn.IFS(
            $D$14&gt;=90,"績效:優",
            $D$14&gt;=80,"績效:甲",
            $D$14&gt;=70,"績效:乙",
            $D$14&gt;=60,"績效:丙",
            $D$14&gt;=50,"績效:丁",
            $D$14&gt;=1,"績效:戊"
        ),
        ""
    ),
    ""
)</f>
        <v>績效:優</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2C00C6-00EC-4CFC-A33A-0094000200ED}"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D400B7-0048-4A3D-9D41-008000CB0049}"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47</v>
      </c>
      <c r="D2" s="11"/>
      <c r="E2" s="11"/>
      <c r="F2" s="11" t="s">
        <v>3</v>
      </c>
      <c r="G2" s="11"/>
      <c r="H2" s="11" t="s">
        <v>4</v>
      </c>
      <c r="I2" s="11"/>
      <c r="J2" s="11"/>
      <c r="K2" s="11"/>
    </row>
    <row r="3" ht="58.799999999999997" customHeight="1">
      <c r="A3" s="7"/>
      <c r="B3" s="12" t="s">
        <v>5</v>
      </c>
      <c r="C3" s="13" t="s">
        <v>48</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88</v>
      </c>
      <c r="G6" s="17"/>
      <c r="H6" s="19">
        <v>0.29999999999999999</v>
      </c>
      <c r="I6" s="19">
        <v>0.20000000000000001</v>
      </c>
      <c r="J6" s="19">
        <v>0.29999999999999999</v>
      </c>
      <c r="K6" s="19">
        <v>0.25</v>
      </c>
    </row>
    <row r="7" ht="81" customHeight="1">
      <c r="A7" s="7"/>
      <c r="B7" s="11" t="s">
        <v>18</v>
      </c>
      <c r="C7" s="18" t="s">
        <v>19</v>
      </c>
      <c r="D7" s="18"/>
      <c r="E7" s="18"/>
      <c r="F7" s="17">
        <v>88</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90</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t="s">
        <v>49</v>
      </c>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89</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89</v>
      </c>
      <c r="E14" s="28" t="str">
        <f t="array" ref="E14">IF(AND(ISNUMBER($D$14),$D$14&gt;0),
    IFERROR(
        _xlfn.IFS(
            $D$14&gt;=90,"績效:優",
            $D$14&gt;=80,"績效:甲",
            $D$14&gt;=70,"績效:乙",
            $D$14&gt;=60,"績效:丙",
            $D$14&gt;=50,"績效:丁",
            $D$14&gt;=1,"績效:戊"
        ),
        ""
    ),
    ""
)</f>
        <v>績效:甲</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5C00AE-00FC-4BF6-BEB0-00AB00AA0023}"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590015-0086-466C-AA1D-005900F20073}"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50</v>
      </c>
      <c r="D2" s="11"/>
      <c r="E2" s="11"/>
      <c r="F2" s="11" t="s">
        <v>3</v>
      </c>
      <c r="G2" s="11"/>
      <c r="H2" s="11" t="s">
        <v>4</v>
      </c>
      <c r="I2" s="11"/>
      <c r="J2" s="11"/>
      <c r="K2" s="11"/>
    </row>
    <row r="3" ht="58.799999999999997" customHeight="1">
      <c r="A3" s="7"/>
      <c r="B3" s="12" t="s">
        <v>5</v>
      </c>
      <c r="C3" s="13" t="s">
        <v>51</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86</v>
      </c>
      <c r="G6" s="17"/>
      <c r="H6" s="19">
        <v>0.29999999999999999</v>
      </c>
      <c r="I6" s="19">
        <v>0.20000000000000001</v>
      </c>
      <c r="J6" s="19">
        <v>0.29999999999999999</v>
      </c>
      <c r="K6" s="19">
        <v>0.25</v>
      </c>
    </row>
    <row r="7" ht="81" customHeight="1">
      <c r="A7" s="7"/>
      <c r="B7" s="11" t="s">
        <v>18</v>
      </c>
      <c r="C7" s="18" t="s">
        <v>19</v>
      </c>
      <c r="D7" s="18"/>
      <c r="E7" s="18"/>
      <c r="F7" s="17">
        <v>88</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89</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t="s">
        <v>52</v>
      </c>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88</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88</v>
      </c>
      <c r="E14" s="28" t="str">
        <f t="array" ref="E14">IF(AND(ISNUMBER($D$14),$D$14&gt;0),
    IFERROR(
        _xlfn.IFS(
            $D$14&gt;=90,"績效:優",
            $D$14&gt;=80,"績效:甲",
            $D$14&gt;=70,"績效:乙",
            $D$14&gt;=60,"績效:丙",
            $D$14&gt;=50,"績效:丁",
            $D$14&gt;=1,"績效:戊"
        ),
        ""
    ),
    ""
)</f>
        <v>績效:甲</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DF00B1-00F0-4A96-ABD3-002900AA0088}"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9C00CC-008C-4679-9871-00D4003100BB}"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53</v>
      </c>
      <c r="D2" s="11"/>
      <c r="E2" s="11"/>
      <c r="F2" s="11" t="s">
        <v>3</v>
      </c>
      <c r="G2" s="11"/>
      <c r="H2" s="11" t="s">
        <v>4</v>
      </c>
      <c r="I2" s="11"/>
      <c r="J2" s="11"/>
      <c r="K2" s="11"/>
    </row>
    <row r="3" ht="58.799999999999997" customHeight="1">
      <c r="A3" s="7"/>
      <c r="B3" s="12" t="s">
        <v>5</v>
      </c>
      <c r="C3" s="13" t="s">
        <v>54</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88</v>
      </c>
      <c r="G6" s="17"/>
      <c r="H6" s="19">
        <v>0.29999999999999999</v>
      </c>
      <c r="I6" s="19">
        <v>0.20000000000000001</v>
      </c>
      <c r="J6" s="19">
        <v>0.29999999999999999</v>
      </c>
      <c r="K6" s="19">
        <v>0.25</v>
      </c>
    </row>
    <row r="7" ht="81" customHeight="1">
      <c r="A7" s="7"/>
      <c r="B7" s="11" t="s">
        <v>18</v>
      </c>
      <c r="C7" s="18" t="s">
        <v>19</v>
      </c>
      <c r="D7" s="18"/>
      <c r="E7" s="18"/>
      <c r="F7" s="17">
        <v>90</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90</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t="s">
        <v>55</v>
      </c>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89</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90</v>
      </c>
      <c r="E14" s="28" t="str">
        <f t="array" ref="E14">IF(AND(ISNUMBER($D$14),$D$14&gt;0),
    IFERROR(
        _xlfn.IFS(
            $D$14&gt;=90,"績效:優",
            $D$14&gt;=80,"績效:甲",
            $D$14&gt;=70,"績效:乙",
            $D$14&gt;=60,"績效:丙",
            $D$14&gt;=50,"績效:丁",
            $D$14&gt;=1,"績效:戊"
        ),
        ""
    ),
    ""
)</f>
        <v>績效:優</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E60089-00AD-4F73-AF7E-00FE00770036}"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F10065-0075-4069-AC9F-005F00E3009F}"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sheetData>
    <row r="1">
      <c r="A1" t="s">
        <v>56</v>
      </c>
      <c r="B1" t="s">
        <v>2</v>
      </c>
      <c r="C1" t="s">
        <v>4</v>
      </c>
      <c r="D1" t="s">
        <v>10</v>
      </c>
    </row>
    <row r="2">
      <c r="A2" t="s">
        <v>57</v>
      </c>
      <c r="B2" t="s">
        <v>35</v>
      </c>
      <c r="C2" t="s">
        <v>4</v>
      </c>
      <c r="D2" t="s">
        <v>10</v>
      </c>
    </row>
    <row r="3">
      <c r="A3" t="s">
        <v>58</v>
      </c>
      <c r="B3" t="s">
        <v>38</v>
      </c>
      <c r="C3" t="s">
        <v>4</v>
      </c>
      <c r="D3" t="s">
        <v>10</v>
      </c>
    </row>
    <row r="4">
      <c r="A4" t="s">
        <v>59</v>
      </c>
      <c r="B4" t="s">
        <v>41</v>
      </c>
      <c r="C4" t="s">
        <v>4</v>
      </c>
      <c r="D4" t="s">
        <v>10</v>
      </c>
    </row>
    <row r="5">
      <c r="A5" t="s">
        <v>60</v>
      </c>
      <c r="B5" t="s">
        <v>44</v>
      </c>
      <c r="C5" t="s">
        <v>4</v>
      </c>
      <c r="D5" t="s">
        <v>10</v>
      </c>
    </row>
    <row r="6">
      <c r="A6" t="s">
        <v>61</v>
      </c>
      <c r="B6" t="s">
        <v>47</v>
      </c>
      <c r="C6" t="s">
        <v>4</v>
      </c>
      <c r="D6" t="s">
        <v>10</v>
      </c>
    </row>
    <row r="7">
      <c r="A7" t="s">
        <v>62</v>
      </c>
      <c r="B7" t="s">
        <v>50</v>
      </c>
      <c r="C7" t="s">
        <v>4</v>
      </c>
      <c r="D7" t="s">
        <v>10</v>
      </c>
    </row>
    <row r="8">
      <c r="A8" t="s">
        <v>63</v>
      </c>
      <c r="B8" t="s">
        <v>53</v>
      </c>
      <c r="C8" t="s">
        <v>4</v>
      </c>
      <c r="D8" t="s">
        <v>10</v>
      </c>
    </row>
  </sheetData>
  <sheetProtection algorithmName="SHA-512" hashValue="TZlgcXtM2O9Ggt+s5YveGXj60durO9MayP/uBlzygbhtrF6iRgCkW+Wxe6lRvOikXrH25iKVXUrxbSL+WnvHpQ==" saltValue="ZMUF0t/qw7YMhv/ly3ZJww==" spinCount="100000" autoFilter="1" deleteColumns="1" deleteRows="1" formatCells="1" formatColumns="1" formatRows="1" insertColumns="1" insertHyperlinks="1" insertRows="1" objects="0" pivotTables="1" scenarios="0" selectLockedCells="1" selectUnlockedCells="1" sheet="1" sort="1"/>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2147483648" verticalDpi="2147483648" copies="1"/>
  <headerFooter/>
</worksheet>
</file>

<file path=docProps/app.xml><?xml version="1.0" encoding="utf-8"?>
<Properties xmlns="http://schemas.openxmlformats.org/officeDocument/2006/extended-properties" xmlns:vt="http://schemas.openxmlformats.org/officeDocument/2006/docPropsVTypes">
  <Application>onlyoffice/8.0.1.31</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黃姿菁</cp:lastModifiedBy>
  <cp:revision>4</cp:revision>
  <dcterms:created xsi:type="dcterms:W3CDTF">2015-06-05T18:19:34Z</dcterms:created>
  <dcterms:modified xsi:type="dcterms:W3CDTF">2024-12-13T03:12:39Z</dcterms:modified>
</cp:coreProperties>
</file>