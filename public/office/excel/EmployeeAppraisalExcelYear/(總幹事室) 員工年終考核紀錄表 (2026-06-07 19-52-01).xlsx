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10" yWindow="-110" windowWidth="19420" windowHeight="10300" activeTab="0"/>
  </bookViews>
  <sheets>
    <sheet sheetId="4" name="黃祈雯" state="visible" r:id="rId4"/>
    <sheet sheetId="5" name="陳志清" state="visible" r:id="rId5"/>
    <sheet sheetId="6" name="陳玉芳" state="visible" r:id="rId6"/>
    <sheet sheetId="7" name="高傳和" state="visible" r:id="rId7"/>
    <sheet sheetId="8" name="林建興" state="visible" r:id="rId8"/>
    <sheet sheetId="9" name="許展彰" state="visible" r:id="rId9"/>
    <sheet sheetId="10" name="林溪河" state="visible" r:id="rId10"/>
    <sheet sheetId="11" name="許淑如" state="visible" r:id="rId11"/>
    <sheet sheetId="12" name="洪玉映" state="visible" r:id="rId12"/>
    <sheet sheetId="13" name="黃湧淇" state="visible" r:id="rId13"/>
    <sheet sheetId="14" name="黃明田" state="visible" r:id="rId14"/>
    <sheet sheetId="15" name="吳素顏" state="visible" r:id="rId15"/>
    <sheet sheetId="16" name="黃姿菁" state="visible" r:id="rId16"/>
    <sheet sheetId="17" name="沈宗儒" state="visible" r:id="rId17"/>
    <sheet sheetId="18" name="林威任" state="visible" r:id="rId18"/>
    <sheet sheetId="1" name="參數" state="hidden" r:id="rId19"/>
  </sheets>
  <calcPr calcId="171027"/>
</workbook>
</file>

<file path=xl/sharedStrings.xml><?xml version="1.0" encoding="utf-8"?>
<sst xmlns="http://schemas.openxmlformats.org/spreadsheetml/2006/main" count="645" uniqueCount="85">
  <si>
    <t>115年度彰化區漁會年度考核/績效成績表</t>
  </si>
  <si>
    <t>姓名</t>
  </si>
  <si>
    <t>黃祈雯</t>
  </si>
  <si>
    <t>服務部門</t>
  </si>
  <si>
    <t>總幹事室</t>
  </si>
  <si>
    <t>工作內容(必填)</t>
  </si>
  <si>
    <t>人事/財產管理/</t>
  </si>
  <si>
    <t>考核期間</t>
  </si>
  <si>
    <t>115年O1月至12月</t>
  </si>
  <si>
    <t>主管</t>
  </si>
  <si>
    <t>員工</t>
  </si>
  <si>
    <t>考 核 項 目</t>
  </si>
  <si>
    <t>考核內容</t>
  </si>
  <si>
    <t>分數(0~100)</t>
  </si>
  <si>
    <t>考核</t>
  </si>
  <si>
    <t>績效</t>
  </si>
  <si>
    <t xml:space="preserve">工作知能及
公文績效</t>
  </si>
  <si>
    <r>
      <rPr>
        <charset val="136"/>
        <family val="4"/>
        <sz val="11"/>
        <rFont val="標楷體"/>
      </rPr>
      <t>嫻熟工作相關專業知識，對於承辦業務能提出具體改進措施，或簡化工作流程，提升效能效率，增進工作績效</t>
    </r>
    <r>
      <rPr>
        <charset val="136"/>
        <color theme="1"/>
        <family val="4"/>
        <sz val="11"/>
        <rFont val="標楷體"/>
      </rPr>
      <t>。公文處理均能掌握品質及時效，臨時交辦案件亦能依限完成。</t>
    </r>
  </si>
  <si>
    <t>服務態度、工作積極及品德操守</t>
  </si>
  <si>
    <t xml:space="preserve">負責盡職，積極辦理業務，落實顧客導向，提升服務品質。發揮團隊精神，對於工作與職務調整，及與他人協調合作，能優先考量組織目標之達成。
公正和藹，保守秘密，謹慎勤勉，誠實廉潔，無奢侈、放蕩、冶遊、賭博及其他有害聲譽之行為。</t>
  </si>
  <si>
    <r>
      <rPr>
        <charset val="136"/>
        <family val="4"/>
        <sz val="11"/>
        <rFont val="標楷體"/>
      </rPr>
      <t xml:space="preserve">領導協調
能力</t>
    </r>
    <r>
      <rPr>
        <charset val="136"/>
        <color rgb="FFFF0000"/>
        <family val="4"/>
        <sz val="11"/>
        <rFont val="標楷體"/>
      </rPr>
      <t xml:space="preserve">(主管職務)   </t>
    </r>
  </si>
  <si>
    <t>具判斷決策溝通協調能力，並能傳授知識、經驗、技能，適當指導同仁，且經常檢討工作計畫執行情形，達成預定績效目標。</t>
  </si>
  <si>
    <t>年度目標達成度</t>
  </si>
  <si>
    <r>
      <rPr>
        <charset val="136"/>
        <color rgb="FF0070C0"/>
        <family val="4"/>
        <sz val="11"/>
        <rFont val="標楷體"/>
      </rPr>
      <t>達成漁會訂定之目標值或成效</t>
    </r>
    <r>
      <rPr>
        <charset val="136"/>
        <color theme="1"/>
        <family val="4"/>
        <sz val="11"/>
        <rFont val="標楷體"/>
      </rPr>
      <t>，如期完成或較預定進度超前，充分達成計畫目標，績效卓著。</t>
    </r>
  </si>
  <si>
    <r>
      <rPr>
        <charset val="136"/>
        <family val="4"/>
        <sz val="11"/>
        <rFont val="標楷體"/>
      </rPr>
      <t xml:space="preserve">個人重大具體優劣事蹟(受考人如有工作、操行、學識、才能等重大具體優劣事蹟，足資紀錄者，應填於本欄 ，以作為考評之重要參據。)
或</t>
    </r>
    <r>
      <rPr>
        <charset val="136"/>
        <color indexed="2"/>
        <family val="4"/>
        <sz val="11"/>
        <rFont val="標楷體"/>
      </rPr>
      <t>主管評定優等或丙等(含)以下應加敘事由或事蹟</t>
    </r>
  </si>
  <si>
    <t>單位主管評定等級及分數 (請簽章)</t>
  </si>
  <si>
    <t>總幹事綜合考評 (請簽章)</t>
  </si>
  <si>
    <r>
      <rPr/>
      <t>附註 :  一</t>
    </r>
    <r>
      <rPr>
        <charset val="136"/>
        <color theme="1"/>
        <family val="2"/>
        <sz val="6"/>
        <rFont val="微軟正黑體"/>
      </rPr>
      <t xml:space="preserve">  </t>
    </r>
    <r>
      <rPr>
        <charset val="136"/>
        <color theme="1"/>
        <family val="2"/>
        <sz val="11"/>
        <rFont val="微軟正黑體"/>
      </rPr>
      <t>、依據漁會人事管理辦法第54條規定訂定，但各漁會得視業務特性及需要自行訂定。</t>
    </r>
  </si>
  <si>
    <t xml:space="preserve">           二 、平時考核紀錄等級分為6級，平時考核紀錄等級分述如下:</t>
  </si>
  <si>
    <t xml:space="preserve">                    優:90-99(表現優異，足為同仁表率。)</t>
  </si>
  <si>
    <t xml:space="preserve">                    甲:80-89(表現明顯地超出該職責的要求水準。)</t>
  </si>
  <si>
    <t xml:space="preserve">                    乙:70-79(表現均能達到要求水準。)</t>
  </si>
  <si>
    <t xml:space="preserve">                    丙:60-69(表現未盡符合基本要求。)</t>
  </si>
  <si>
    <t xml:space="preserve">                    丁:50-59(表現多未達基本要求，經勸導仍未改進者。)</t>
  </si>
  <si>
    <t xml:space="preserve">                    戊:40-49(無故曠工。)</t>
  </si>
  <si>
    <t>陳志清</t>
  </si>
  <si>
    <t/>
  </si>
  <si>
    <t>陳玉芳</t>
  </si>
  <si>
    <t>供銷部</t>
  </si>
  <si>
    <t>供銷業務統籌及推展。</t>
  </si>
  <si>
    <t>高傳和</t>
  </si>
  <si>
    <t>埔心魚市場</t>
  </si>
  <si>
    <t>統籌管理埔心魚市場業務。</t>
  </si>
  <si>
    <t>林建興</t>
  </si>
  <si>
    <t>拍賣員後台帳務</t>
  </si>
  <si>
    <t>許展彰</t>
  </si>
  <si>
    <t>林溪河</t>
  </si>
  <si>
    <t>統籌埔心魚市場財務管理業務。</t>
  </si>
  <si>
    <t>許淑如</t>
  </si>
  <si>
    <t>王功辦事處</t>
  </si>
  <si>
    <t>王功辦事處各項業務管理。</t>
  </si>
  <si>
    <t>洪玉映</t>
  </si>
  <si>
    <t>線西辦事處</t>
  </si>
  <si>
    <t>總理分部業務</t>
  </si>
  <si>
    <t>黃湧淇</t>
  </si>
  <si>
    <t>鹿港辦事處</t>
  </si>
  <si>
    <t>鹿港辦事處各項業務管理。</t>
  </si>
  <si>
    <t>黃明田</t>
  </si>
  <si>
    <t>企劃部</t>
  </si>
  <si>
    <t>總理資訊業務</t>
  </si>
  <si>
    <t>吳素顏</t>
  </si>
  <si>
    <t>稽核部</t>
  </si>
  <si>
    <t>企劃及稽核業務管理。</t>
  </si>
  <si>
    <t>黃姿菁</t>
  </si>
  <si>
    <t>推廣部</t>
  </si>
  <si>
    <t>推廣部業務管理。</t>
  </si>
  <si>
    <t>沈宗儒</t>
  </si>
  <si>
    <t>推廣部養殖股業務管理。</t>
  </si>
  <si>
    <t>林威任</t>
  </si>
  <si>
    <t>會務部</t>
  </si>
  <si>
    <t>0011</t>
  </si>
  <si>
    <t>0185</t>
  </si>
  <si>
    <t>0079</t>
  </si>
  <si>
    <t>0116</t>
  </si>
  <si>
    <t>0119</t>
  </si>
  <si>
    <t>0118</t>
  </si>
  <si>
    <t>0090</t>
  </si>
  <si>
    <t>0089</t>
  </si>
  <si>
    <t>0017</t>
  </si>
  <si>
    <t>0067</t>
  </si>
  <si>
    <t>0029</t>
  </si>
  <si>
    <t>0032</t>
  </si>
  <si>
    <t>0015</t>
  </si>
  <si>
    <t>0016</t>
  </si>
  <si>
    <t>0186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</si>
</sst>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color theme="1"/>
      <family val="2"/>
      <scheme val="minor"/>
      <sz val="11"/>
      <name val="新細明體"/>
    </font>
    <font>
      <charset val="136"/>
      <color theme="1"/>
      <family val="2"/>
      <sz val="11"/>
      <name val="微軟正黑體"/>
    </font>
    <font>
      <b/>
      <charset val="136"/>
      <color theme="1"/>
      <family val="4"/>
      <sz val="16"/>
      <name val="標楷體"/>
    </font>
    <font>
      <charset val="136"/>
      <color theme="1"/>
      <family val="4"/>
      <sz val="11"/>
      <name val="標楷體"/>
    </font>
    <font>
      <charset val="136"/>
      <color indexed="2"/>
      <family val="4"/>
      <sz val="11"/>
      <name val="標楷體"/>
    </font>
    <font>
      <charset val="136"/>
      <color theme="1"/>
      <family val="2"/>
      <sz val="11"/>
      <name val="Microsoft JhengHei"/>
    </font>
    <font>
      <charset val="136"/>
      <color theme="1"/>
      <family val="2"/>
      <sz val="11"/>
      <name val="Arial Unicode MS"/>
    </font>
    <font>
      <charset val="136"/>
      <family val="4"/>
      <sz val="11"/>
      <name val="標楷體"/>
    </font>
    <font>
      <charset val="136"/>
      <color rgb="FFFF0000"/>
      <family val="4"/>
      <sz val="11"/>
      <name val="標楷體"/>
    </font>
  </fonts>
  <fills count="5">
    <fill>
      <patternFill patternType="none"/>
    </fill>
    <fill>
      <patternFill patternType="gray125"/>
    </fill>
    <fill>
      <patternFill patternType="solid">
        <fgColor theme="0" tint="-0.0499893185216834"/>
        <bgColor theme="0" tint="-0.049989318521683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0" tint="-0.0499893185216834"/>
        <bgColor indexed="64"/>
      </patternFill>
    </fill>
  </fills>
  <borders count="6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0" borderId="0" xfId="0" applyFont="1" applyProtection="1">
      <protection locked="0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top"/>
    </xf>
    <xf numFmtId="0" fontId="2" fillId="0" borderId="0" xfId="0" applyFont="1"/>
    <xf numFmtId="0" fontId="1" fillId="0" borderId="0" xfId="0" applyFont="1" applyAlignment="1">
      <alignment horizontal="center"/>
    </xf>
    <xf numFmtId="0" fontId="1" fillId="0" borderId="1" xfId="0" applyFont="1" applyBorder="1" applyProtection="1">
      <protection locked="0"/>
    </xf>
    <xf numFmtId="0" fontId="1" fillId="0" borderId="2" xfId="0" applyFont="1" applyBorder="1" applyProtection="1">
      <protection locked="0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 applyProtection="1">
      <alignment horizontal="left" vertical="top" wrapText="1"/>
      <protection locked="0"/>
    </xf>
    <xf numFmtId="0" fontId="4" fillId="2" borderId="4" xfId="0" applyFont="1" applyFill="1" applyBorder="1" applyAlignment="1" applyProtection="1">
      <alignment horizontal="left" vertical="top" wrapText="1"/>
      <protection locked="0"/>
    </xf>
    <xf numFmtId="0" fontId="4" fillId="2" borderId="5" xfId="0" applyFont="1" applyFill="1" applyBorder="1" applyAlignment="1" applyProtection="1">
      <alignment horizontal="left" vertical="top" wrapText="1"/>
      <protection locked="0"/>
    </xf>
    <xf numFmtId="0" fontId="6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vertical="center" wrapText="1"/>
    </xf>
    <xf numFmtId="0" fontId="4" fillId="0" borderId="2" xfId="0" applyFont="1" applyBorder="1" applyAlignment="1" applyProtection="1">
      <alignment horizontal="center" vertical="center"/>
      <protection locked="0"/>
    </xf>
    <xf numFmtId="9" fontId="7" fillId="3" borderId="2" xfId="0" applyNumberFormat="1" applyFont="1" applyFill="1" applyBorder="1" applyAlignment="1">
      <alignment horizontal="center" vertical="center"/>
    </xf>
    <xf numFmtId="0" fontId="8" fillId="0" borderId="2" xfId="0" applyFont="1" applyBorder="1" applyAlignment="1">
      <alignment vertical="center" wrapText="1"/>
    </xf>
    <xf numFmtId="0" fontId="9" fillId="0" borderId="2" xfId="0" applyFont="1" applyBorder="1" applyAlignment="1">
      <alignment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/>
    </xf>
    <xf numFmtId="0" fontId="8" fillId="4" borderId="3" xfId="0" applyFont="1" applyFill="1" applyBorder="1" applyAlignment="1" applyProtection="1">
      <alignment horizontal="left" vertical="top" wrapText="1"/>
      <protection locked="0"/>
    </xf>
    <xf numFmtId="0" fontId="8" fillId="4" borderId="4" xfId="0" applyFont="1" applyFill="1" applyBorder="1" applyAlignment="1" applyProtection="1">
      <alignment horizontal="left" vertical="top" wrapText="1"/>
      <protection locked="0"/>
    </xf>
    <xf numFmtId="0" fontId="8" fillId="4" borderId="5" xfId="0" applyFont="1" applyFill="1" applyBorder="1" applyAlignment="1" applyProtection="1">
      <alignment horizontal="left" vertical="top" wrapText="1"/>
      <protection locked="0"/>
    </xf>
    <xf numFmtId="0" fontId="5" fillId="0" borderId="2" xfId="0" applyFont="1" applyBorder="1" applyAlignment="1">
      <alignment horizontal="left" vertical="center" indent="1"/>
    </xf>
    <xf numFmtId="0" fontId="5" fillId="0" borderId="2" xfId="0" applyFont="1" applyBorder="1" applyAlignment="1" applyProtection="1">
      <alignment horizontal="center" vertical="center"/>
      <protection locked="0"/>
    </xf>
    <xf numFmtId="0" fontId="1" fillId="0" borderId="0" xfId="0" applyFont="1" applyAlignment="1" applyProtection="1">
      <alignment horizontal="left"/>
      <protection locked="0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wrapText="1"/>
    </xf>
    <xf numFmtId="0" fontId="2" fillId="0" borderId="0" xfId="0" applyFont="1" applyAlignment="1">
      <alignment horizontal="left"/>
    </xf>
    <xf numFmtId="0" fontId="2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5"/>
  <sheetFormatPr defaultRowHeight="15" outlineLevelRow="0" outlineLevelCol="0" x14ac:dyDescent="55"/>
  <sheetData>
    <row r="1" spans="1:4" x14ac:dyDescent="0.25">
      <c r="A1" t="s">
        <v>70</v>
      </c>
      <c r="B1" t="s">
        <v>2</v>
      </c>
      <c r="C1" t="s">
        <v>4</v>
      </c>
      <c r="D1" t="s">
        <v>10</v>
      </c>
    </row>
    <row r="2" spans="1:4" x14ac:dyDescent="0.25">
      <c r="A2" t="s">
        <v>71</v>
      </c>
      <c r="B2" t="s">
        <v>35</v>
      </c>
      <c r="C2" t="s">
        <v>4</v>
      </c>
      <c r="D2" t="s">
        <v>10</v>
      </c>
    </row>
    <row r="3" spans="1:4" x14ac:dyDescent="0.25">
      <c r="A3" t="s">
        <v>72</v>
      </c>
      <c r="B3" t="s">
        <v>37</v>
      </c>
      <c r="C3" t="s">
        <v>38</v>
      </c>
      <c r="D3" t="s">
        <v>9</v>
      </c>
    </row>
    <row r="4" spans="1:4" x14ac:dyDescent="0.25">
      <c r="A4" t="s">
        <v>73</v>
      </c>
      <c r="B4" t="s">
        <v>40</v>
      </c>
      <c r="C4" t="s">
        <v>41</v>
      </c>
      <c r="D4" t="s">
        <v>9</v>
      </c>
    </row>
    <row r="5" spans="1:4" x14ac:dyDescent="0.25">
      <c r="A5" t="s">
        <v>74</v>
      </c>
      <c r="B5" t="s">
        <v>43</v>
      </c>
      <c r="C5" t="s">
        <v>41</v>
      </c>
      <c r="D5" t="s">
        <v>9</v>
      </c>
    </row>
    <row r="6" spans="1:4" x14ac:dyDescent="0.25">
      <c r="A6" t="s">
        <v>75</v>
      </c>
      <c r="B6" t="s">
        <v>45</v>
      </c>
      <c r="C6" t="s">
        <v>41</v>
      </c>
      <c r="D6" t="s">
        <v>9</v>
      </c>
    </row>
    <row r="7" spans="1:4" x14ac:dyDescent="0.25">
      <c r="A7" t="s">
        <v>76</v>
      </c>
      <c r="B7" t="s">
        <v>46</v>
      </c>
      <c r="C7" t="s">
        <v>41</v>
      </c>
      <c r="D7" t="s">
        <v>9</v>
      </c>
    </row>
    <row r="8" spans="1:4" x14ac:dyDescent="0.25">
      <c r="A8" t="s">
        <v>77</v>
      </c>
      <c r="B8" t="s">
        <v>48</v>
      </c>
      <c r="C8" t="s">
        <v>49</v>
      </c>
      <c r="D8" t="s">
        <v>9</v>
      </c>
    </row>
    <row r="9" spans="1:4" x14ac:dyDescent="0.25">
      <c r="A9" t="s">
        <v>78</v>
      </c>
      <c r="B9" t="s">
        <v>51</v>
      </c>
      <c r="C9" t="s">
        <v>52</v>
      </c>
      <c r="D9" t="s">
        <v>9</v>
      </c>
    </row>
    <row r="10" spans="1:4" x14ac:dyDescent="0.25">
      <c r="A10" t="s">
        <v>79</v>
      </c>
      <c r="B10" t="s">
        <v>54</v>
      </c>
      <c r="C10" t="s">
        <v>55</v>
      </c>
      <c r="D10" t="s">
        <v>9</v>
      </c>
    </row>
    <row r="11" spans="1:4" x14ac:dyDescent="0.25">
      <c r="A11" t="s">
        <v>80</v>
      </c>
      <c r="B11" t="s">
        <v>57</v>
      </c>
      <c r="C11" t="s">
        <v>58</v>
      </c>
      <c r="D11" t="s">
        <v>9</v>
      </c>
    </row>
    <row r="12" spans="1:4" x14ac:dyDescent="0.25">
      <c r="A12" t="s">
        <v>81</v>
      </c>
      <c r="B12" t="s">
        <v>60</v>
      </c>
      <c r="C12" t="s">
        <v>61</v>
      </c>
      <c r="D12" t="s">
        <v>9</v>
      </c>
    </row>
    <row r="13" spans="1:4" x14ac:dyDescent="0.25">
      <c r="A13" t="s">
        <v>82</v>
      </c>
      <c r="B13" t="s">
        <v>63</v>
      </c>
      <c r="C13" t="s">
        <v>64</v>
      </c>
      <c r="D13" t="s">
        <v>9</v>
      </c>
    </row>
    <row r="14" spans="1:4" x14ac:dyDescent="0.25">
      <c r="A14" t="s">
        <v>83</v>
      </c>
      <c r="B14" t="s">
        <v>66</v>
      </c>
      <c r="C14" t="s">
        <v>64</v>
      </c>
      <c r="D14" t="s">
        <v>9</v>
      </c>
    </row>
    <row r="15" spans="1:4" x14ac:dyDescent="0.25">
      <c r="A15" t="s">
        <v>84</v>
      </c>
      <c r="B15" t="s">
        <v>68</v>
      </c>
      <c r="C15" t="s">
        <v>69</v>
      </c>
      <c r="D15" t="s">
        <v>9</v>
      </c>
    </row>
  </sheetData>
  <sheetProtection sheet="1" selectLockedCells="1" selectUnlockedCells="1" algorithmName="SHA-512" hashValue="tmf1jlvK9UIBRXJIeo8UKpL1oqTfaXwmCYIAfUc5XBUOD9SLCa0ZHAwgHcWfU/Y3jiSZq0d7DGmXrhGe63g0Yw==" saltValue="PRL8YSkm3IIYpGTA//5P4g==" spinCount="100000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5"/>
  <sheetViews>
    <sheetView workbookViewId="0" zoomScale="100" zoomScaleNormal="100">
      <selection activeCell="C3" sqref="C3"/>
    </sheetView>
  </sheetViews>
  <sheetFormatPr defaultRowHeight="15" outlineLevelRow="0" outlineLevelCol="0" x14ac:dyDescent="0" defaultColWidth="11.19921875"/>
  <cols>
    <col min="1" max="1" width="0.09765625" style="1" hidden="1" customWidth="1"/>
    <col min="2" max="2" width="16.69921875" style="2" customWidth="1"/>
    <col min="3" max="3" width="18.59765625" style="2" customWidth="1"/>
    <col min="4" max="4" width="5.5" style="2" hidden="1" customWidth="1"/>
    <col min="5" max="5" width="32" style="3" customWidth="1"/>
    <col min="6" max="6" width="4.69921875" style="4" customWidth="1"/>
    <col min="7" max="7" width="7.59765625" style="4" customWidth="1"/>
    <col min="8" max="10" width="6.59765625" style="5" customWidth="1"/>
    <col min="11" max="11" width="7.09765625" style="5" customWidth="1"/>
    <col min="12" max="16384" width="11.19921875" style="1" customWidth="1"/>
  </cols>
  <sheetData>
    <row r="1" ht="36.65" customHeight="1" spans="1:11" s="6" customFormat="1" x14ac:dyDescent="0.25">
      <c r="A1" s="7"/>
      <c r="B1" s="8" t="s">
        <v>0</v>
      </c>
      <c r="C1" s="9"/>
      <c r="D1" s="9"/>
      <c r="E1" s="9"/>
      <c r="F1" s="9"/>
      <c r="G1" s="9"/>
      <c r="H1" s="9"/>
      <c r="I1" s="9"/>
      <c r="J1" s="9"/>
      <c r="K1" s="10"/>
    </row>
    <row r="2" ht="35.25" customHeight="1" spans="1:11" x14ac:dyDescent="0.25">
      <c r="A2" s="7"/>
      <c r="B2" s="11" t="s">
        <v>1</v>
      </c>
      <c r="C2" s="11" t="s">
        <v>2</v>
      </c>
      <c r="D2" s="11"/>
      <c r="E2" s="11"/>
      <c r="F2" s="11" t="s">
        <v>3</v>
      </c>
      <c r="G2" s="11"/>
      <c r="H2" s="11" t="s">
        <v>4</v>
      </c>
      <c r="I2" s="11"/>
      <c r="J2" s="11"/>
      <c r="K2" s="11"/>
    </row>
    <row r="3" ht="58.9" customHeight="1" spans="1:11" x14ac:dyDescent="0.25">
      <c r="A3" s="7"/>
      <c r="B3" s="12" t="s">
        <v>5</v>
      </c>
      <c r="C3" s="13" t="s">
        <v>6</v>
      </c>
      <c r="D3" s="14"/>
      <c r="E3" s="14"/>
      <c r="F3" s="14"/>
      <c r="G3" s="14"/>
      <c r="H3" s="14"/>
      <c r="I3" s="14"/>
      <c r="J3" s="14"/>
      <c r="K3" s="15"/>
    </row>
    <row r="4" ht="35.25" customHeight="1" spans="1:11" x14ac:dyDescent="0.25">
      <c r="A4" s="7"/>
      <c r="B4" s="12" t="s">
        <v>7</v>
      </c>
      <c r="C4" s="12" t="s">
        <v>8</v>
      </c>
      <c r="D4" s="12"/>
      <c r="E4" s="12"/>
      <c r="F4" s="12"/>
      <c r="G4" s="12"/>
      <c r="H4" s="16" t="s">
        <v>9</v>
      </c>
      <c r="I4" s="16"/>
      <c r="J4" s="16" t="s">
        <v>10</v>
      </c>
      <c r="K4" s="16"/>
    </row>
    <row r="5" ht="30" customHeight="1" spans="1:11" x14ac:dyDescent="0.25">
      <c r="A5" s="7"/>
      <c r="B5" s="11" t="s">
        <v>11</v>
      </c>
      <c r="C5" s="17" t="s">
        <v>12</v>
      </c>
      <c r="D5" s="17"/>
      <c r="E5" s="17"/>
      <c r="F5" s="17" t="s">
        <v>13</v>
      </c>
      <c r="G5" s="17"/>
      <c r="H5" s="16" t="s">
        <v>14</v>
      </c>
      <c r="I5" s="16" t="s">
        <v>15</v>
      </c>
      <c r="J5" s="16" t="s">
        <v>14</v>
      </c>
      <c r="K5" s="16" t="s">
        <v>15</v>
      </c>
    </row>
    <row r="6" ht="64.5" customHeight="1" spans="1:11" x14ac:dyDescent="0.25">
      <c r="A6" s="7"/>
      <c r="B6" s="11" t="s">
        <v>16</v>
      </c>
      <c r="C6" s="18" t="s">
        <v>17</v>
      </c>
      <c r="D6" s="18"/>
      <c r="E6" s="18"/>
      <c r="F6" s="19"/>
      <c r="G6" s="19"/>
      <c r="H6" s="20">
        <v>0.3</v>
      </c>
      <c r="I6" s="20">
        <v>0.2</v>
      </c>
      <c r="J6" s="20">
        <v>0.3</v>
      </c>
      <c r="K6" s="20">
        <v>0.25</v>
      </c>
    </row>
    <row r="7" ht="81.15" customHeight="1" spans="1:11" x14ac:dyDescent="0.25">
      <c r="A7" s="7"/>
      <c r="B7" s="11" t="s">
        <v>18</v>
      </c>
      <c r="C7" s="18" t="s">
        <v>19</v>
      </c>
      <c r="D7" s="18"/>
      <c r="E7" s="18"/>
      <c r="F7" s="19"/>
      <c r="G7" s="19"/>
      <c r="H7" s="20">
        <v>0.3</v>
      </c>
      <c r="I7" s="20">
        <v>0.2</v>
      </c>
      <c r="J7" s="20">
        <v>0.4</v>
      </c>
      <c r="K7" s="20">
        <v>0.25</v>
      </c>
    </row>
    <row r="8" ht="53.4" customHeight="1" spans="1:11" x14ac:dyDescent="0.25">
      <c r="A8" s="7"/>
      <c r="B8" s="11" t="s">
        <v>20</v>
      </c>
      <c r="C8" s="21" t="s">
        <v>21</v>
      </c>
      <c r="D8" s="22"/>
      <c r="E8" s="18"/>
      <c r="F8" s="19"/>
      <c r="G8" s="19"/>
      <c r="H8" s="20">
        <v>0.1</v>
      </c>
      <c r="I8" s="20">
        <v>0.1</v>
      </c>
      <c r="J8" s="20">
        <v>0</v>
      </c>
      <c r="K8" s="20">
        <v>0</v>
      </c>
    </row>
    <row r="9" ht="40.25" customHeight="1" spans="1:11" x14ac:dyDescent="0.25">
      <c r="A9" s="7"/>
      <c r="B9" s="11" t="s">
        <v>22</v>
      </c>
      <c r="C9" s="18" t="s">
        <v>23</v>
      </c>
      <c r="D9" s="18"/>
      <c r="E9" s="18"/>
      <c r="F9" s="19"/>
      <c r="G9" s="19"/>
      <c r="H9" s="20">
        <v>0.3</v>
      </c>
      <c r="I9" s="20">
        <v>0.5</v>
      </c>
      <c r="J9" s="20">
        <v>0.3</v>
      </c>
      <c r="K9" s="20">
        <v>0.5</v>
      </c>
    </row>
    <row r="10" ht="50.4" customHeight="1" spans="1:11" x14ac:dyDescent="0.25">
      <c r="A10" s="7"/>
      <c r="B10" s="23" t="s">
        <v>24</v>
      </c>
      <c r="C10" s="23"/>
      <c r="D10" s="23"/>
      <c r="E10" s="24"/>
      <c r="F10" s="24"/>
      <c r="G10" s="24"/>
      <c r="H10" s="20">
        <f>SUM(H6:H9)</f>
      </c>
      <c r="I10" s="20">
        <f>SUM(I6:I9)</f>
      </c>
      <c r="J10" s="20">
        <f>SUM(J6:J9)</f>
      </c>
      <c r="K10" s="20">
        <f>SUM(K6:K9)</f>
      </c>
    </row>
    <row r="11" ht="43.25" customHeight="1" spans="1:11" x14ac:dyDescent="0.25">
      <c r="A11" s="7"/>
      <c r="B11" s="25"/>
      <c r="C11" s="26"/>
      <c r="D11" s="26"/>
      <c r="E11" s="26"/>
      <c r="F11" s="26"/>
      <c r="G11" s="26"/>
      <c r="H11" s="26"/>
      <c r="I11" s="26"/>
      <c r="J11" s="26"/>
      <c r="K11" s="27"/>
    </row>
    <row r="12" ht="31.75" customHeight="1" spans="1:11" x14ac:dyDescent="0.25">
      <c r="A12" s="7"/>
      <c r="B12" s="17" t="s">
        <v>25</v>
      </c>
      <c r="C12" s="17"/>
      <c r="D12" s="17"/>
      <c r="E12" s="17"/>
      <c r="F12" s="17" t="s">
        <v>26</v>
      </c>
      <c r="G12" s="17"/>
      <c r="H12" s="17"/>
      <c r="I12" s="17"/>
      <c r="J12" s="17"/>
      <c r="K12" s="17"/>
    </row>
    <row r="13" ht="30" customHeight="1" spans="1:11" x14ac:dyDescent="0.25">
      <c r="A13" s="7"/>
      <c r="B13" s="17" t="s">
        <v>14</v>
      </c>
      <c r="C13" s="17"/>
      <c r="D13" s="17">
        <f>IFERROR(
            IF(
                INDEX(參數!$A:$D, MATCH(C2, 參數!$B:$B, 0), 4) = "員工",
                ROUND(SUM(F6*J6, F7*J7, F8*J8, F9*J9), 0),
                IF(
                    INDEX(參數!$A:$D, MATCH(C2, 參數!$B:$B, 0), 4) = "主管",
                    ROUND(SUM(F6*H6, F7*H7, F8*H8, F9*H9), 0),
                    ""
                )
            ),
            ""
        )</f>
      </c>
      <c r="E13" s="28">
        <f t="array" ref="E13">IF(AND(ISNUMBER($D$13),$D$13&gt;0),
    IFERROR(
        _xlfn.IFS(
            $D$13&gt;=90,"考核:優",
            $D$13&gt;=80,"考核:甲",
            $D$13&gt;=70,"考核:乙",
            $D$13&gt;=60,"考核:丙",
            $D$13&gt;=50,"考核:丁",
            $D$13&gt;=1,"考核:戊"
        ),
        ""
    ),
    ""
)</f>
      </c>
      <c r="F13" s="29"/>
      <c r="G13" s="29"/>
      <c r="H13" s="29"/>
      <c r="I13" s="29"/>
      <c r="J13" s="29"/>
      <c r="K13" s="29"/>
    </row>
    <row r="14" ht="30" customHeight="1" spans="1:11" x14ac:dyDescent="0.25">
      <c r="A14" s="7"/>
      <c r="B14" s="17" t="s">
        <v>15</v>
      </c>
      <c r="C14" s="17"/>
      <c r="D14" s="17">
        <f>IFERROR(
        IF(
            INDEX(參數!$A:$D, MATCH(C2, 參數!$B:$B, 0), 4) = "員工",
            ROUND(SUM(F6*K6, F7*K7, F8*K8, F9*K9), 0),
            IF(
                INDEX(參數!$A:$D, MATCH(C2, 參數!$B:$B, 0), 4) = "主管",
                ROUND(SUM(F6*I6, F7*I7, F8*I8, F9*I9), 0),
                ""
            )
        ),
        ""
    )</f>
      </c>
      <c r="E14" s="28">
        <f t="array" ref="E14">IF(AND(ISNUMBER($D$14),$D$14&gt;0),
    IFERROR(
        _xlfn.IFS(
            $D$14&gt;=90,"績效:優",
            $D$14&gt;=80,"績效:甲",
            $D$14&gt;=70,"績效:乙",
            $D$14&gt;=60,"績效:丙",
            $D$14&gt;=50,"績效:丁",
            $D$14&gt;=1,"績效:戊"
        ),
        ""
    ),
    ""
)</f>
      </c>
      <c r="F14" s="29"/>
      <c r="G14" s="29"/>
      <c r="H14" s="29"/>
      <c r="I14" s="29"/>
      <c r="J14" s="29"/>
      <c r="K14" s="29"/>
    </row>
    <row r="15" ht="19.25" customHeight="1" spans="2:11" s="30" customFormat="1" x14ac:dyDescent="0.25">
      <c r="B15" s="31" t="s">
        <v>27</v>
      </c>
      <c r="C15" s="32"/>
      <c r="D15" s="32"/>
      <c r="E15" s="32"/>
      <c r="F15" s="33"/>
      <c r="G15" s="34"/>
      <c r="H15" s="5"/>
      <c r="I15" s="5"/>
      <c r="J15" s="5"/>
      <c r="K15" s="5"/>
    </row>
    <row r="16" spans="2:11" s="30" customFormat="1" x14ac:dyDescent="0.25">
      <c r="B16" s="31" t="s">
        <v>28</v>
      </c>
      <c r="C16" s="32"/>
      <c r="D16" s="32"/>
      <c r="E16" s="32"/>
      <c r="F16" s="34"/>
      <c r="G16" s="34"/>
      <c r="H16" s="5"/>
      <c r="I16" s="5"/>
      <c r="J16" s="5"/>
      <c r="K16" s="5"/>
    </row>
    <row r="17" spans="2:11" s="30" customFormat="1" x14ac:dyDescent="0.25">
      <c r="B17" s="31" t="s">
        <v>29</v>
      </c>
      <c r="C17" s="32"/>
      <c r="D17" s="32"/>
      <c r="E17" s="32"/>
      <c r="F17" s="34"/>
      <c r="G17" s="34"/>
      <c r="H17" s="5"/>
      <c r="I17" s="5"/>
      <c r="J17" s="5"/>
      <c r="K17" s="5"/>
    </row>
    <row r="18" spans="2:11" s="30" customFormat="1" x14ac:dyDescent="0.25">
      <c r="B18" s="31" t="s">
        <v>30</v>
      </c>
      <c r="C18" s="32"/>
      <c r="D18" s="32"/>
      <c r="E18" s="32"/>
      <c r="F18" s="34"/>
      <c r="G18" s="34"/>
      <c r="H18" s="5"/>
      <c r="I18" s="5"/>
      <c r="J18" s="5"/>
      <c r="K18" s="5"/>
    </row>
    <row r="19" spans="2:11" s="30" customFormat="1" x14ac:dyDescent="0.25">
      <c r="B19" s="31" t="s">
        <v>31</v>
      </c>
      <c r="C19" s="32"/>
      <c r="D19" s="32"/>
      <c r="E19" s="32"/>
      <c r="F19" s="34"/>
      <c r="G19" s="34"/>
      <c r="H19" s="5"/>
      <c r="I19" s="5"/>
      <c r="J19" s="5"/>
      <c r="K19" s="5"/>
    </row>
    <row r="20" spans="2:11" s="30" customFormat="1" x14ac:dyDescent="0.25">
      <c r="B20" s="31" t="s">
        <v>32</v>
      </c>
      <c r="C20" s="32"/>
      <c r="D20" s="32"/>
      <c r="E20" s="32"/>
      <c r="F20" s="34"/>
      <c r="G20" s="34"/>
      <c r="H20" s="5"/>
      <c r="I20" s="5"/>
      <c r="J20" s="5"/>
      <c r="K20" s="5"/>
    </row>
    <row r="21" spans="2:11" s="30" customFormat="1" x14ac:dyDescent="0.25">
      <c r="B21" s="31" t="s">
        <v>33</v>
      </c>
      <c r="C21" s="32"/>
      <c r="D21" s="32"/>
      <c r="E21" s="32"/>
      <c r="F21" s="34"/>
      <c r="G21" s="34"/>
      <c r="H21" s="5"/>
      <c r="I21" s="5"/>
      <c r="J21" s="5"/>
      <c r="K21" s="5"/>
    </row>
    <row r="22" spans="2:11" s="30" customFormat="1" x14ac:dyDescent="0.25">
      <c r="B22" s="31" t="s">
        <v>34</v>
      </c>
      <c r="C22" s="32"/>
      <c r="D22" s="32"/>
      <c r="E22" s="32"/>
      <c r="F22" s="34"/>
      <c r="G22" s="34"/>
      <c r="H22" s="5"/>
      <c r="I22" s="5"/>
      <c r="J22" s="5"/>
      <c r="K22" s="5"/>
    </row>
    <row r="23" spans="2:11" s="30" customFormat="1" x14ac:dyDescent="0.25">
      <c r="B23" s="31"/>
      <c r="C23" s="32"/>
      <c r="D23" s="32"/>
      <c r="E23" s="32"/>
      <c r="F23" s="34"/>
      <c r="G23" s="34"/>
      <c r="H23" s="5"/>
      <c r="I23" s="5"/>
      <c r="J23" s="5"/>
      <c r="K23" s="5"/>
    </row>
    <row r="24" spans="2:2" x14ac:dyDescent="0.25">
      <c r="B24" s="35"/>
    </row>
    <row r="25" spans="2:2" x14ac:dyDescent="0.25">
      <c r="B25" s="35"/>
    </row>
  </sheetData>
  <sheetProtection sheet="1" selectLockedCells="1" algorithmName="SHA-512" hashValue="z6zCyYO+1ixaDZfCcGvGJIQEqJqgx1RWV6GtNq/dvjTgKQ1HEyik1CfUF/1JD+pop7XfvfI3NONZRp9cwo0NeQ==" saltValue="FpK8v4x4U+Vjdl5hOO/uIw==" spinCount="100000"/>
  <mergeCells count="26">
    <mergeCell ref="B1:K1"/>
    <mergeCell ref="C2:E2"/>
    <mergeCell ref="F2:G2"/>
    <mergeCell ref="H2:K2"/>
    <mergeCell ref="C3:K3"/>
    <mergeCell ref="C4:G4"/>
    <mergeCell ref="H4:I4"/>
    <mergeCell ref="J4:K4"/>
    <mergeCell ref="C5:E5"/>
    <mergeCell ref="F5:G5"/>
    <mergeCell ref="C6:E6"/>
    <mergeCell ref="F6:G6"/>
    <mergeCell ref="C7:E7"/>
    <mergeCell ref="F7:G7"/>
    <mergeCell ref="C8:E8"/>
    <mergeCell ref="F8:G8"/>
    <mergeCell ref="C9:E9"/>
    <mergeCell ref="F9:G9"/>
    <mergeCell ref="B10:G10"/>
    <mergeCell ref="B11:K11"/>
    <mergeCell ref="B12:E12"/>
    <mergeCell ref="F12:K12"/>
    <mergeCell ref="B13:C13"/>
    <mergeCell ref="F13:K13"/>
    <mergeCell ref="B14:C14"/>
    <mergeCell ref="F14:K14"/>
  </mergeCells>
  <dataValidations count="2">
    <dataValidation type="whole" allowBlank="1" showInputMessage="1" prompt="請輸入0-100之間" showErrorMessage="1" error="請輸入0-100之間" sqref="F6">
      <formula1>0</formula1>
      <formula2>100</formula2>
    </dataValidation>
    <dataValidation type="whole" allowBlank="1" showInputMessage="1" showErrorMessage="1" error="請輸入0-100之間" sqref="F7:F9">
      <formula1>0</formula1>
      <formula2>100</formula2>
    </dataValidation>
  </dataValidations>
  <printOptions horizontalCentered="1"/>
  <pageMargins left="0.03937007874015748" right="0.03937007874015748" top="0.5511811023622047" bottom="0.7480314960629921" header="0.31496062992125984" footer="0.31496062992125984"/>
  <pageSetup paperSize="9" orientation="portrait" horizontalDpi="2147483648" verticalDpi="2147483648" scale="100" fitToWidth="1" fitToHeight="1" firstPageNumber="1" useFirstPageNumber="1" copies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5"/>
  <sheetViews>
    <sheetView workbookViewId="0" zoomScale="100" zoomScaleNormal="100">
      <selection activeCell="C3" sqref="C3"/>
    </sheetView>
  </sheetViews>
  <sheetFormatPr defaultRowHeight="15" outlineLevelRow="0" outlineLevelCol="0" x14ac:dyDescent="0" defaultColWidth="11.19921875"/>
  <cols>
    <col min="1" max="1" width="0.09765625" style="1" hidden="1" customWidth="1"/>
    <col min="2" max="2" width="16.69921875" style="2" customWidth="1"/>
    <col min="3" max="3" width="18.59765625" style="2" customWidth="1"/>
    <col min="4" max="4" width="5.5" style="2" hidden="1" customWidth="1"/>
    <col min="5" max="5" width="32" style="3" customWidth="1"/>
    <col min="6" max="6" width="4.69921875" style="4" customWidth="1"/>
    <col min="7" max="7" width="7.59765625" style="4" customWidth="1"/>
    <col min="8" max="10" width="6.59765625" style="5" customWidth="1"/>
    <col min="11" max="11" width="7.09765625" style="5" customWidth="1"/>
    <col min="12" max="16384" width="11.19921875" style="1" customWidth="1"/>
  </cols>
  <sheetData>
    <row r="1" ht="36.65" customHeight="1" spans="1:11" s="6" customFormat="1" x14ac:dyDescent="0.25">
      <c r="A1" s="7"/>
      <c r="B1" s="8" t="s">
        <v>0</v>
      </c>
      <c r="C1" s="9"/>
      <c r="D1" s="9"/>
      <c r="E1" s="9"/>
      <c r="F1" s="9"/>
      <c r="G1" s="9"/>
      <c r="H1" s="9"/>
      <c r="I1" s="9"/>
      <c r="J1" s="9"/>
      <c r="K1" s="10"/>
    </row>
    <row r="2" ht="35.25" customHeight="1" spans="1:11" x14ac:dyDescent="0.25">
      <c r="A2" s="7"/>
      <c r="B2" s="11" t="s">
        <v>1</v>
      </c>
      <c r="C2" s="11" t="s">
        <v>35</v>
      </c>
      <c r="D2" s="11"/>
      <c r="E2" s="11"/>
      <c r="F2" s="11" t="s">
        <v>3</v>
      </c>
      <c r="G2" s="11"/>
      <c r="H2" s="11" t="s">
        <v>4</v>
      </c>
      <c r="I2" s="11"/>
      <c r="J2" s="11"/>
      <c r="K2" s="11"/>
    </row>
    <row r="3" ht="58.9" customHeight="1" spans="1:11" x14ac:dyDescent="0.25">
      <c r="A3" s="7"/>
      <c r="B3" s="12" t="s">
        <v>5</v>
      </c>
      <c r="C3" s="13" t="s">
        <v>36</v>
      </c>
      <c r="D3" s="14"/>
      <c r="E3" s="14"/>
      <c r="F3" s="14"/>
      <c r="G3" s="14"/>
      <c r="H3" s="14"/>
      <c r="I3" s="14"/>
      <c r="J3" s="14"/>
      <c r="K3" s="15"/>
    </row>
    <row r="4" ht="35.25" customHeight="1" spans="1:11" x14ac:dyDescent="0.25">
      <c r="A4" s="7"/>
      <c r="B4" s="12" t="s">
        <v>7</v>
      </c>
      <c r="C4" s="12" t="s">
        <v>8</v>
      </c>
      <c r="D4" s="12"/>
      <c r="E4" s="12"/>
      <c r="F4" s="12"/>
      <c r="G4" s="12"/>
      <c r="H4" s="16" t="s">
        <v>9</v>
      </c>
      <c r="I4" s="16"/>
      <c r="J4" s="16" t="s">
        <v>10</v>
      </c>
      <c r="K4" s="16"/>
    </row>
    <row r="5" ht="30" customHeight="1" spans="1:11" x14ac:dyDescent="0.25">
      <c r="A5" s="7"/>
      <c r="B5" s="11" t="s">
        <v>11</v>
      </c>
      <c r="C5" s="17" t="s">
        <v>12</v>
      </c>
      <c r="D5" s="17"/>
      <c r="E5" s="17"/>
      <c r="F5" s="17" t="s">
        <v>13</v>
      </c>
      <c r="G5" s="17"/>
      <c r="H5" s="16" t="s">
        <v>14</v>
      </c>
      <c r="I5" s="16" t="s">
        <v>15</v>
      </c>
      <c r="J5" s="16" t="s">
        <v>14</v>
      </c>
      <c r="K5" s="16" t="s">
        <v>15</v>
      </c>
    </row>
    <row r="6" ht="64.5" customHeight="1" spans="1:11" x14ac:dyDescent="0.25">
      <c r="A6" s="7"/>
      <c r="B6" s="11" t="s">
        <v>16</v>
      </c>
      <c r="C6" s="18" t="s">
        <v>17</v>
      </c>
      <c r="D6" s="18"/>
      <c r="E6" s="18"/>
      <c r="F6" s="19"/>
      <c r="G6" s="19"/>
      <c r="H6" s="20">
        <v>0.3</v>
      </c>
      <c r="I6" s="20">
        <v>0.2</v>
      </c>
      <c r="J6" s="20">
        <v>0.3</v>
      </c>
      <c r="K6" s="20">
        <v>0.25</v>
      </c>
    </row>
    <row r="7" ht="81.15" customHeight="1" spans="1:11" x14ac:dyDescent="0.25">
      <c r="A7" s="7"/>
      <c r="B7" s="11" t="s">
        <v>18</v>
      </c>
      <c r="C7" s="18" t="s">
        <v>19</v>
      </c>
      <c r="D7" s="18"/>
      <c r="E7" s="18"/>
      <c r="F7" s="19"/>
      <c r="G7" s="19"/>
      <c r="H7" s="20">
        <v>0.3</v>
      </c>
      <c r="I7" s="20">
        <v>0.2</v>
      </c>
      <c r="J7" s="20">
        <v>0.4</v>
      </c>
      <c r="K7" s="20">
        <v>0.25</v>
      </c>
    </row>
    <row r="8" ht="53.4" customHeight="1" spans="1:11" x14ac:dyDescent="0.25">
      <c r="A8" s="7"/>
      <c r="B8" s="11" t="s">
        <v>20</v>
      </c>
      <c r="C8" s="21" t="s">
        <v>21</v>
      </c>
      <c r="D8" s="22"/>
      <c r="E8" s="18"/>
      <c r="F8" s="19"/>
      <c r="G8" s="19"/>
      <c r="H8" s="20">
        <v>0.1</v>
      </c>
      <c r="I8" s="20">
        <v>0.1</v>
      </c>
      <c r="J8" s="20">
        <v>0</v>
      </c>
      <c r="K8" s="20">
        <v>0</v>
      </c>
    </row>
    <row r="9" ht="40.25" customHeight="1" spans="1:11" x14ac:dyDescent="0.25">
      <c r="A9" s="7"/>
      <c r="B9" s="11" t="s">
        <v>22</v>
      </c>
      <c r="C9" s="18" t="s">
        <v>23</v>
      </c>
      <c r="D9" s="18"/>
      <c r="E9" s="18"/>
      <c r="F9" s="19"/>
      <c r="G9" s="19"/>
      <c r="H9" s="20">
        <v>0.3</v>
      </c>
      <c r="I9" s="20">
        <v>0.5</v>
      </c>
      <c r="J9" s="20">
        <v>0.3</v>
      </c>
      <c r="K9" s="20">
        <v>0.5</v>
      </c>
    </row>
    <row r="10" ht="50.4" customHeight="1" spans="1:11" x14ac:dyDescent="0.25">
      <c r="A10" s="7"/>
      <c r="B10" s="23" t="s">
        <v>24</v>
      </c>
      <c r="C10" s="23"/>
      <c r="D10" s="23"/>
      <c r="E10" s="24"/>
      <c r="F10" s="24"/>
      <c r="G10" s="24"/>
      <c r="H10" s="20">
        <f>SUM(H6:H9)</f>
      </c>
      <c r="I10" s="20">
        <f>SUM(I6:I9)</f>
      </c>
      <c r="J10" s="20">
        <f>SUM(J6:J9)</f>
      </c>
      <c r="K10" s="20">
        <f>SUM(K6:K9)</f>
      </c>
    </row>
    <row r="11" ht="43.25" customHeight="1" spans="1:11" x14ac:dyDescent="0.25">
      <c r="A11" s="7"/>
      <c r="B11" s="25"/>
      <c r="C11" s="26"/>
      <c r="D11" s="26"/>
      <c r="E11" s="26"/>
      <c r="F11" s="26"/>
      <c r="G11" s="26"/>
      <c r="H11" s="26"/>
      <c r="I11" s="26"/>
      <c r="J11" s="26"/>
      <c r="K11" s="27"/>
    </row>
    <row r="12" ht="31.75" customHeight="1" spans="1:11" x14ac:dyDescent="0.25">
      <c r="A12" s="7"/>
      <c r="B12" s="17" t="s">
        <v>25</v>
      </c>
      <c r="C12" s="17"/>
      <c r="D12" s="17"/>
      <c r="E12" s="17"/>
      <c r="F12" s="17" t="s">
        <v>26</v>
      </c>
      <c r="G12" s="17"/>
      <c r="H12" s="17"/>
      <c r="I12" s="17"/>
      <c r="J12" s="17"/>
      <c r="K12" s="17"/>
    </row>
    <row r="13" ht="30" customHeight="1" spans="1:11" x14ac:dyDescent="0.25">
      <c r="A13" s="7"/>
      <c r="B13" s="17" t="s">
        <v>14</v>
      </c>
      <c r="C13" s="17"/>
      <c r="D13" s="17">
        <f>IFERROR(
            IF(
                INDEX(參數!$A:$D, MATCH(C2, 參數!$B:$B, 0), 4) = "員工",
                ROUND(SUM(F6*J6, F7*J7, F8*J8, F9*J9), 0),
                IF(
                    INDEX(參數!$A:$D, MATCH(C2, 參數!$B:$B, 0), 4) = "主管",
                    ROUND(SUM(F6*H6, F7*H7, F8*H8, F9*H9), 0),
                    ""
                )
            ),
            ""
        )</f>
      </c>
      <c r="E13" s="28">
        <f t="array" ref="E13">IF(AND(ISNUMBER($D$13),$D$13&gt;0),
    IFERROR(
        _xlfn.IFS(
            $D$13&gt;=90,"考核:優",
            $D$13&gt;=80,"考核:甲",
            $D$13&gt;=70,"考核:乙",
            $D$13&gt;=60,"考核:丙",
            $D$13&gt;=50,"考核:丁",
            $D$13&gt;=1,"考核:戊"
        ),
        ""
    ),
    ""
)</f>
      </c>
      <c r="F13" s="29"/>
      <c r="G13" s="29"/>
      <c r="H13" s="29"/>
      <c r="I13" s="29"/>
      <c r="J13" s="29"/>
      <c r="K13" s="29"/>
    </row>
    <row r="14" ht="30" customHeight="1" spans="1:11" x14ac:dyDescent="0.25">
      <c r="A14" s="7"/>
      <c r="B14" s="17" t="s">
        <v>15</v>
      </c>
      <c r="C14" s="17"/>
      <c r="D14" s="17">
        <f>IFERROR(
        IF(
            INDEX(參數!$A:$D, MATCH(C2, 參數!$B:$B, 0), 4) = "員工",
            ROUND(SUM(F6*K6, F7*K7, F8*K8, F9*K9), 0),
            IF(
                INDEX(參數!$A:$D, MATCH(C2, 參數!$B:$B, 0), 4) = "主管",
                ROUND(SUM(F6*I6, F7*I7, F8*I8, F9*I9), 0),
                ""
            )
        ),
        ""
    )</f>
      </c>
      <c r="E14" s="28">
        <f t="array" ref="E14">IF(AND(ISNUMBER($D$14),$D$14&gt;0),
    IFERROR(
        _xlfn.IFS(
            $D$14&gt;=90,"績效:優",
            $D$14&gt;=80,"績效:甲",
            $D$14&gt;=70,"績效:乙",
            $D$14&gt;=60,"績效:丙",
            $D$14&gt;=50,"績效:丁",
            $D$14&gt;=1,"績效:戊"
        ),
        ""
    ),
    ""
)</f>
      </c>
      <c r="F14" s="29"/>
      <c r="G14" s="29"/>
      <c r="H14" s="29"/>
      <c r="I14" s="29"/>
      <c r="J14" s="29"/>
      <c r="K14" s="29"/>
    </row>
    <row r="15" ht="19.25" customHeight="1" spans="2:11" s="30" customFormat="1" x14ac:dyDescent="0.25">
      <c r="B15" s="31" t="s">
        <v>27</v>
      </c>
      <c r="C15" s="32"/>
      <c r="D15" s="32"/>
      <c r="E15" s="32"/>
      <c r="F15" s="33"/>
      <c r="G15" s="34"/>
      <c r="H15" s="5"/>
      <c r="I15" s="5"/>
      <c r="J15" s="5"/>
      <c r="K15" s="5"/>
    </row>
    <row r="16" spans="2:11" s="30" customFormat="1" x14ac:dyDescent="0.25">
      <c r="B16" s="31" t="s">
        <v>28</v>
      </c>
      <c r="C16" s="32"/>
      <c r="D16" s="32"/>
      <c r="E16" s="32"/>
      <c r="F16" s="34"/>
      <c r="G16" s="34"/>
      <c r="H16" s="5"/>
      <c r="I16" s="5"/>
      <c r="J16" s="5"/>
      <c r="K16" s="5"/>
    </row>
    <row r="17" spans="2:11" s="30" customFormat="1" x14ac:dyDescent="0.25">
      <c r="B17" s="31" t="s">
        <v>29</v>
      </c>
      <c r="C17" s="32"/>
      <c r="D17" s="32"/>
      <c r="E17" s="32"/>
      <c r="F17" s="34"/>
      <c r="G17" s="34"/>
      <c r="H17" s="5"/>
      <c r="I17" s="5"/>
      <c r="J17" s="5"/>
      <c r="K17" s="5"/>
    </row>
    <row r="18" spans="2:11" s="30" customFormat="1" x14ac:dyDescent="0.25">
      <c r="B18" s="31" t="s">
        <v>30</v>
      </c>
      <c r="C18" s="32"/>
      <c r="D18" s="32"/>
      <c r="E18" s="32"/>
      <c r="F18" s="34"/>
      <c r="G18" s="34"/>
      <c r="H18" s="5"/>
      <c r="I18" s="5"/>
      <c r="J18" s="5"/>
      <c r="K18" s="5"/>
    </row>
    <row r="19" spans="2:11" s="30" customFormat="1" x14ac:dyDescent="0.25">
      <c r="B19" s="31" t="s">
        <v>31</v>
      </c>
      <c r="C19" s="32"/>
      <c r="D19" s="32"/>
      <c r="E19" s="32"/>
      <c r="F19" s="34"/>
      <c r="G19" s="34"/>
      <c r="H19" s="5"/>
      <c r="I19" s="5"/>
      <c r="J19" s="5"/>
      <c r="K19" s="5"/>
    </row>
    <row r="20" spans="2:11" s="30" customFormat="1" x14ac:dyDescent="0.25">
      <c r="B20" s="31" t="s">
        <v>32</v>
      </c>
      <c r="C20" s="32"/>
      <c r="D20" s="32"/>
      <c r="E20" s="32"/>
      <c r="F20" s="34"/>
      <c r="G20" s="34"/>
      <c r="H20" s="5"/>
      <c r="I20" s="5"/>
      <c r="J20" s="5"/>
      <c r="K20" s="5"/>
    </row>
    <row r="21" spans="2:11" s="30" customFormat="1" x14ac:dyDescent="0.25">
      <c r="B21" s="31" t="s">
        <v>33</v>
      </c>
      <c r="C21" s="32"/>
      <c r="D21" s="32"/>
      <c r="E21" s="32"/>
      <c r="F21" s="34"/>
      <c r="G21" s="34"/>
      <c r="H21" s="5"/>
      <c r="I21" s="5"/>
      <c r="J21" s="5"/>
      <c r="K21" s="5"/>
    </row>
    <row r="22" spans="2:11" s="30" customFormat="1" x14ac:dyDescent="0.25">
      <c r="B22" s="31" t="s">
        <v>34</v>
      </c>
      <c r="C22" s="32"/>
      <c r="D22" s="32"/>
      <c r="E22" s="32"/>
      <c r="F22" s="34"/>
      <c r="G22" s="34"/>
      <c r="H22" s="5"/>
      <c r="I22" s="5"/>
      <c r="J22" s="5"/>
      <c r="K22" s="5"/>
    </row>
    <row r="23" spans="2:11" s="30" customFormat="1" x14ac:dyDescent="0.25">
      <c r="B23" s="31"/>
      <c r="C23" s="32"/>
      <c r="D23" s="32"/>
      <c r="E23" s="32"/>
      <c r="F23" s="34"/>
      <c r="G23" s="34"/>
      <c r="H23" s="5"/>
      <c r="I23" s="5"/>
      <c r="J23" s="5"/>
      <c r="K23" s="5"/>
    </row>
    <row r="24" spans="2:2" x14ac:dyDescent="0.25">
      <c r="B24" s="35"/>
    </row>
    <row r="25" spans="2:2" x14ac:dyDescent="0.25">
      <c r="B25" s="35"/>
    </row>
  </sheetData>
  <sheetProtection sheet="1" selectLockedCells="1" algorithmName="SHA-512" hashValue="z6zCyYO+1ixaDZfCcGvGJIQEqJqgx1RWV6GtNq/dvjTgKQ1HEyik1CfUF/1JD+pop7XfvfI3NONZRp9cwo0NeQ==" saltValue="FpK8v4x4U+Vjdl5hOO/uIw==" spinCount="100000"/>
  <mergeCells count="26">
    <mergeCell ref="B1:K1"/>
    <mergeCell ref="C2:E2"/>
    <mergeCell ref="F2:G2"/>
    <mergeCell ref="H2:K2"/>
    <mergeCell ref="C3:K3"/>
    <mergeCell ref="C4:G4"/>
    <mergeCell ref="H4:I4"/>
    <mergeCell ref="J4:K4"/>
    <mergeCell ref="C5:E5"/>
    <mergeCell ref="F5:G5"/>
    <mergeCell ref="C6:E6"/>
    <mergeCell ref="F6:G6"/>
    <mergeCell ref="C7:E7"/>
    <mergeCell ref="F7:G7"/>
    <mergeCell ref="C8:E8"/>
    <mergeCell ref="F8:G8"/>
    <mergeCell ref="C9:E9"/>
    <mergeCell ref="F9:G9"/>
    <mergeCell ref="B10:G10"/>
    <mergeCell ref="B11:K11"/>
    <mergeCell ref="B12:E12"/>
    <mergeCell ref="F12:K12"/>
    <mergeCell ref="B13:C13"/>
    <mergeCell ref="F13:K13"/>
    <mergeCell ref="B14:C14"/>
    <mergeCell ref="F14:K14"/>
  </mergeCells>
  <dataValidations count="2">
    <dataValidation type="whole" allowBlank="1" showInputMessage="1" prompt="請輸入0-100之間" showErrorMessage="1" error="請輸入0-100之間" sqref="F6">
      <formula1>0</formula1>
      <formula2>100</formula2>
    </dataValidation>
    <dataValidation type="whole" allowBlank="1" showInputMessage="1" showErrorMessage="1" error="請輸入0-100之間" sqref="F7:F9">
      <formula1>0</formula1>
      <formula2>100</formula2>
    </dataValidation>
  </dataValidations>
  <printOptions horizontalCentered="1"/>
  <pageMargins left="0.03937007874015748" right="0.03937007874015748" top="0.5511811023622047" bottom="0.7480314960629921" header="0.31496062992125984" footer="0.31496062992125984"/>
  <pageSetup paperSize="9" orientation="portrait" horizontalDpi="2147483648" verticalDpi="2147483648" scale="100" fitToWidth="1" fitToHeight="1" firstPageNumber="1" useFirstPageNumber="1" copies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5"/>
  <sheetViews>
    <sheetView workbookViewId="0" zoomScale="100" zoomScaleNormal="100">
      <selection activeCell="C3" sqref="C3"/>
    </sheetView>
  </sheetViews>
  <sheetFormatPr defaultRowHeight="15" outlineLevelRow="0" outlineLevelCol="0" x14ac:dyDescent="0" defaultColWidth="11.19921875"/>
  <cols>
    <col min="1" max="1" width="0.09765625" style="1" hidden="1" customWidth="1"/>
    <col min="2" max="2" width="16.69921875" style="2" customWidth="1"/>
    <col min="3" max="3" width="18.59765625" style="2" customWidth="1"/>
    <col min="4" max="4" width="5.5" style="2" hidden="1" customWidth="1"/>
    <col min="5" max="5" width="32" style="3" customWidth="1"/>
    <col min="6" max="6" width="4.69921875" style="4" customWidth="1"/>
    <col min="7" max="7" width="7.59765625" style="4" customWidth="1"/>
    <col min="8" max="10" width="6.59765625" style="5" customWidth="1"/>
    <col min="11" max="11" width="7.09765625" style="5" customWidth="1"/>
    <col min="12" max="16384" width="11.19921875" style="1" customWidth="1"/>
  </cols>
  <sheetData>
    <row r="1" ht="36.65" customHeight="1" spans="1:11" s="6" customFormat="1" x14ac:dyDescent="0.25">
      <c r="A1" s="7"/>
      <c r="B1" s="8" t="s">
        <v>0</v>
      </c>
      <c r="C1" s="9"/>
      <c r="D1" s="9"/>
      <c r="E1" s="9"/>
      <c r="F1" s="9"/>
      <c r="G1" s="9"/>
      <c r="H1" s="9"/>
      <c r="I1" s="9"/>
      <c r="J1" s="9"/>
      <c r="K1" s="10"/>
    </row>
    <row r="2" ht="35.25" customHeight="1" spans="1:11" x14ac:dyDescent="0.25">
      <c r="A2" s="7"/>
      <c r="B2" s="11" t="s">
        <v>1</v>
      </c>
      <c r="C2" s="11" t="s">
        <v>37</v>
      </c>
      <c r="D2" s="11"/>
      <c r="E2" s="11"/>
      <c r="F2" s="11" t="s">
        <v>3</v>
      </c>
      <c r="G2" s="11"/>
      <c r="H2" s="11" t="s">
        <v>38</v>
      </c>
      <c r="I2" s="11"/>
      <c r="J2" s="11"/>
      <c r="K2" s="11"/>
    </row>
    <row r="3" ht="58.9" customHeight="1" spans="1:11" x14ac:dyDescent="0.25">
      <c r="A3" s="7"/>
      <c r="B3" s="12" t="s">
        <v>5</v>
      </c>
      <c r="C3" s="13" t="s">
        <v>39</v>
      </c>
      <c r="D3" s="14"/>
      <c r="E3" s="14"/>
      <c r="F3" s="14"/>
      <c r="G3" s="14"/>
      <c r="H3" s="14"/>
      <c r="I3" s="14"/>
      <c r="J3" s="14"/>
      <c r="K3" s="15"/>
    </row>
    <row r="4" ht="35.25" customHeight="1" spans="1:11" x14ac:dyDescent="0.25">
      <c r="A4" s="7"/>
      <c r="B4" s="12" t="s">
        <v>7</v>
      </c>
      <c r="C4" s="12" t="s">
        <v>8</v>
      </c>
      <c r="D4" s="12"/>
      <c r="E4" s="12"/>
      <c r="F4" s="12"/>
      <c r="G4" s="12"/>
      <c r="H4" s="16" t="s">
        <v>9</v>
      </c>
      <c r="I4" s="16"/>
      <c r="J4" s="16" t="s">
        <v>10</v>
      </c>
      <c r="K4" s="16"/>
    </row>
    <row r="5" ht="30" customHeight="1" spans="1:11" x14ac:dyDescent="0.25">
      <c r="A5" s="7"/>
      <c r="B5" s="11" t="s">
        <v>11</v>
      </c>
      <c r="C5" s="17" t="s">
        <v>12</v>
      </c>
      <c r="D5" s="17"/>
      <c r="E5" s="17"/>
      <c r="F5" s="17" t="s">
        <v>13</v>
      </c>
      <c r="G5" s="17"/>
      <c r="H5" s="16" t="s">
        <v>14</v>
      </c>
      <c r="I5" s="16" t="s">
        <v>15</v>
      </c>
      <c r="J5" s="16" t="s">
        <v>14</v>
      </c>
      <c r="K5" s="16" t="s">
        <v>15</v>
      </c>
    </row>
    <row r="6" ht="64.5" customHeight="1" spans="1:11" x14ac:dyDescent="0.25">
      <c r="A6" s="7"/>
      <c r="B6" s="11" t="s">
        <v>16</v>
      </c>
      <c r="C6" s="18" t="s">
        <v>17</v>
      </c>
      <c r="D6" s="18"/>
      <c r="E6" s="18"/>
      <c r="F6" s="19"/>
      <c r="G6" s="19"/>
      <c r="H6" s="20">
        <v>0.3</v>
      </c>
      <c r="I6" s="20">
        <v>0.2</v>
      </c>
      <c r="J6" s="20">
        <v>0.3</v>
      </c>
      <c r="K6" s="20">
        <v>0.25</v>
      </c>
    </row>
    <row r="7" ht="81.15" customHeight="1" spans="1:11" x14ac:dyDescent="0.25">
      <c r="A7" s="7"/>
      <c r="B7" s="11" t="s">
        <v>18</v>
      </c>
      <c r="C7" s="18" t="s">
        <v>19</v>
      </c>
      <c r="D7" s="18"/>
      <c r="E7" s="18"/>
      <c r="F7" s="19"/>
      <c r="G7" s="19"/>
      <c r="H7" s="20">
        <v>0.3</v>
      </c>
      <c r="I7" s="20">
        <v>0.2</v>
      </c>
      <c r="J7" s="20">
        <v>0.4</v>
      </c>
      <c r="K7" s="20">
        <v>0.25</v>
      </c>
    </row>
    <row r="8" ht="53.4" customHeight="1" spans="1:11" x14ac:dyDescent="0.25">
      <c r="A8" s="7"/>
      <c r="B8" s="11" t="s">
        <v>20</v>
      </c>
      <c r="C8" s="21" t="s">
        <v>21</v>
      </c>
      <c r="D8" s="22"/>
      <c r="E8" s="18"/>
      <c r="F8" s="19"/>
      <c r="G8" s="19"/>
      <c r="H8" s="20">
        <v>0.1</v>
      </c>
      <c r="I8" s="20">
        <v>0.1</v>
      </c>
      <c r="J8" s="20">
        <v>0</v>
      </c>
      <c r="K8" s="20">
        <v>0</v>
      </c>
    </row>
    <row r="9" ht="40.25" customHeight="1" spans="1:11" x14ac:dyDescent="0.25">
      <c r="A9" s="7"/>
      <c r="B9" s="11" t="s">
        <v>22</v>
      </c>
      <c r="C9" s="18" t="s">
        <v>23</v>
      </c>
      <c r="D9" s="18"/>
      <c r="E9" s="18"/>
      <c r="F9" s="19"/>
      <c r="G9" s="19"/>
      <c r="H9" s="20">
        <v>0.3</v>
      </c>
      <c r="I9" s="20">
        <v>0.5</v>
      </c>
      <c r="J9" s="20">
        <v>0.3</v>
      </c>
      <c r="K9" s="20">
        <v>0.5</v>
      </c>
    </row>
    <row r="10" ht="50.4" customHeight="1" spans="1:11" x14ac:dyDescent="0.25">
      <c r="A10" s="7"/>
      <c r="B10" s="23" t="s">
        <v>24</v>
      </c>
      <c r="C10" s="23"/>
      <c r="D10" s="23"/>
      <c r="E10" s="24"/>
      <c r="F10" s="24"/>
      <c r="G10" s="24"/>
      <c r="H10" s="20">
        <f>SUM(H6:H9)</f>
      </c>
      <c r="I10" s="20">
        <f>SUM(I6:I9)</f>
      </c>
      <c r="J10" s="20">
        <f>SUM(J6:J9)</f>
      </c>
      <c r="K10" s="20">
        <f>SUM(K6:K9)</f>
      </c>
    </row>
    <row r="11" ht="43.25" customHeight="1" spans="1:11" x14ac:dyDescent="0.25">
      <c r="A11" s="7"/>
      <c r="B11" s="25"/>
      <c r="C11" s="26"/>
      <c r="D11" s="26"/>
      <c r="E11" s="26"/>
      <c r="F11" s="26"/>
      <c r="G11" s="26"/>
      <c r="H11" s="26"/>
      <c r="I11" s="26"/>
      <c r="J11" s="26"/>
      <c r="K11" s="27"/>
    </row>
    <row r="12" ht="31.75" customHeight="1" spans="1:11" x14ac:dyDescent="0.25">
      <c r="A12" s="7"/>
      <c r="B12" s="17" t="s">
        <v>25</v>
      </c>
      <c r="C12" s="17"/>
      <c r="D12" s="17"/>
      <c r="E12" s="17"/>
      <c r="F12" s="17" t="s">
        <v>26</v>
      </c>
      <c r="G12" s="17"/>
      <c r="H12" s="17"/>
      <c r="I12" s="17"/>
      <c r="J12" s="17"/>
      <c r="K12" s="17"/>
    </row>
    <row r="13" ht="30" customHeight="1" spans="1:11" x14ac:dyDescent="0.25">
      <c r="A13" s="7"/>
      <c r="B13" s="17" t="s">
        <v>14</v>
      </c>
      <c r="C13" s="17"/>
      <c r="D13" s="17">
        <f>IFERROR(
            IF(
                INDEX(參數!$A:$D, MATCH(C2, 參數!$B:$B, 0), 4) = "員工",
                ROUND(SUM(F6*J6, F7*J7, F8*J8, F9*J9), 0),
                IF(
                    INDEX(參數!$A:$D, MATCH(C2, 參數!$B:$B, 0), 4) = "主管",
                    ROUND(SUM(F6*H6, F7*H7, F8*H8, F9*H9), 0),
                    ""
                )
            ),
            ""
        )</f>
      </c>
      <c r="E13" s="28">
        <f t="array" ref="E13">IF(AND(ISNUMBER($D$13),$D$13&gt;0),
    IFERROR(
        _xlfn.IFS(
            $D$13&gt;=90,"考核:優",
            $D$13&gt;=80,"考核:甲",
            $D$13&gt;=70,"考核:乙",
            $D$13&gt;=60,"考核:丙",
            $D$13&gt;=50,"考核:丁",
            $D$13&gt;=1,"考核:戊"
        ),
        ""
    ),
    ""
)</f>
      </c>
      <c r="F13" s="29"/>
      <c r="G13" s="29"/>
      <c r="H13" s="29"/>
      <c r="I13" s="29"/>
      <c r="J13" s="29"/>
      <c r="K13" s="29"/>
    </row>
    <row r="14" ht="30" customHeight="1" spans="1:11" x14ac:dyDescent="0.25">
      <c r="A14" s="7"/>
      <c r="B14" s="17" t="s">
        <v>15</v>
      </c>
      <c r="C14" s="17"/>
      <c r="D14" s="17">
        <f>IFERROR(
        IF(
            INDEX(參數!$A:$D, MATCH(C2, 參數!$B:$B, 0), 4) = "員工",
            ROUND(SUM(F6*K6, F7*K7, F8*K8, F9*K9), 0),
            IF(
                INDEX(參數!$A:$D, MATCH(C2, 參數!$B:$B, 0), 4) = "主管",
                ROUND(SUM(F6*I6, F7*I7, F8*I8, F9*I9), 0),
                ""
            )
        ),
        ""
    )</f>
      </c>
      <c r="E14" s="28">
        <f t="array" ref="E14">IF(AND(ISNUMBER($D$14),$D$14&gt;0),
    IFERROR(
        _xlfn.IFS(
            $D$14&gt;=90,"績效:優",
            $D$14&gt;=80,"績效:甲",
            $D$14&gt;=70,"績效:乙",
            $D$14&gt;=60,"績效:丙",
            $D$14&gt;=50,"績效:丁",
            $D$14&gt;=1,"績效:戊"
        ),
        ""
    ),
    ""
)</f>
      </c>
      <c r="F14" s="29"/>
      <c r="G14" s="29"/>
      <c r="H14" s="29"/>
      <c r="I14" s="29"/>
      <c r="J14" s="29"/>
      <c r="K14" s="29"/>
    </row>
    <row r="15" ht="19.25" customHeight="1" spans="2:11" s="30" customFormat="1" x14ac:dyDescent="0.25">
      <c r="B15" s="31" t="s">
        <v>27</v>
      </c>
      <c r="C15" s="32"/>
      <c r="D15" s="32"/>
      <c r="E15" s="32"/>
      <c r="F15" s="33"/>
      <c r="G15" s="34"/>
      <c r="H15" s="5"/>
      <c r="I15" s="5"/>
      <c r="J15" s="5"/>
      <c r="K15" s="5"/>
    </row>
    <row r="16" spans="2:11" s="30" customFormat="1" x14ac:dyDescent="0.25">
      <c r="B16" s="31" t="s">
        <v>28</v>
      </c>
      <c r="C16" s="32"/>
      <c r="D16" s="32"/>
      <c r="E16" s="32"/>
      <c r="F16" s="34"/>
      <c r="G16" s="34"/>
      <c r="H16" s="5"/>
      <c r="I16" s="5"/>
      <c r="J16" s="5"/>
      <c r="K16" s="5"/>
    </row>
    <row r="17" spans="2:11" s="30" customFormat="1" x14ac:dyDescent="0.25">
      <c r="B17" s="31" t="s">
        <v>29</v>
      </c>
      <c r="C17" s="32"/>
      <c r="D17" s="32"/>
      <c r="E17" s="32"/>
      <c r="F17" s="34"/>
      <c r="G17" s="34"/>
      <c r="H17" s="5"/>
      <c r="I17" s="5"/>
      <c r="J17" s="5"/>
      <c r="K17" s="5"/>
    </row>
    <row r="18" spans="2:11" s="30" customFormat="1" x14ac:dyDescent="0.25">
      <c r="B18" s="31" t="s">
        <v>30</v>
      </c>
      <c r="C18" s="32"/>
      <c r="D18" s="32"/>
      <c r="E18" s="32"/>
      <c r="F18" s="34"/>
      <c r="G18" s="34"/>
      <c r="H18" s="5"/>
      <c r="I18" s="5"/>
      <c r="J18" s="5"/>
      <c r="K18" s="5"/>
    </row>
    <row r="19" spans="2:11" s="30" customFormat="1" x14ac:dyDescent="0.25">
      <c r="B19" s="31" t="s">
        <v>31</v>
      </c>
      <c r="C19" s="32"/>
      <c r="D19" s="32"/>
      <c r="E19" s="32"/>
      <c r="F19" s="34"/>
      <c r="G19" s="34"/>
      <c r="H19" s="5"/>
      <c r="I19" s="5"/>
      <c r="J19" s="5"/>
      <c r="K19" s="5"/>
    </row>
    <row r="20" spans="2:11" s="30" customFormat="1" x14ac:dyDescent="0.25">
      <c r="B20" s="31" t="s">
        <v>32</v>
      </c>
      <c r="C20" s="32"/>
      <c r="D20" s="32"/>
      <c r="E20" s="32"/>
      <c r="F20" s="34"/>
      <c r="G20" s="34"/>
      <c r="H20" s="5"/>
      <c r="I20" s="5"/>
      <c r="J20" s="5"/>
      <c r="K20" s="5"/>
    </row>
    <row r="21" spans="2:11" s="30" customFormat="1" x14ac:dyDescent="0.25">
      <c r="B21" s="31" t="s">
        <v>33</v>
      </c>
      <c r="C21" s="32"/>
      <c r="D21" s="32"/>
      <c r="E21" s="32"/>
      <c r="F21" s="34"/>
      <c r="G21" s="34"/>
      <c r="H21" s="5"/>
      <c r="I21" s="5"/>
      <c r="J21" s="5"/>
      <c r="K21" s="5"/>
    </row>
    <row r="22" spans="2:11" s="30" customFormat="1" x14ac:dyDescent="0.25">
      <c r="B22" s="31" t="s">
        <v>34</v>
      </c>
      <c r="C22" s="32"/>
      <c r="D22" s="32"/>
      <c r="E22" s="32"/>
      <c r="F22" s="34"/>
      <c r="G22" s="34"/>
      <c r="H22" s="5"/>
      <c r="I22" s="5"/>
      <c r="J22" s="5"/>
      <c r="K22" s="5"/>
    </row>
    <row r="23" spans="2:11" s="30" customFormat="1" x14ac:dyDescent="0.25">
      <c r="B23" s="31"/>
      <c r="C23" s="32"/>
      <c r="D23" s="32"/>
      <c r="E23" s="32"/>
      <c r="F23" s="34"/>
      <c r="G23" s="34"/>
      <c r="H23" s="5"/>
      <c r="I23" s="5"/>
      <c r="J23" s="5"/>
      <c r="K23" s="5"/>
    </row>
    <row r="24" spans="2:2" x14ac:dyDescent="0.25">
      <c r="B24" s="35"/>
    </row>
    <row r="25" spans="2:2" x14ac:dyDescent="0.25">
      <c r="B25" s="35"/>
    </row>
  </sheetData>
  <sheetProtection sheet="1" selectLockedCells="1" algorithmName="SHA-512" hashValue="z6zCyYO+1ixaDZfCcGvGJIQEqJqgx1RWV6GtNq/dvjTgKQ1HEyik1CfUF/1JD+pop7XfvfI3NONZRp9cwo0NeQ==" saltValue="FpK8v4x4U+Vjdl5hOO/uIw==" spinCount="100000"/>
  <mergeCells count="26">
    <mergeCell ref="B1:K1"/>
    <mergeCell ref="C2:E2"/>
    <mergeCell ref="F2:G2"/>
    <mergeCell ref="H2:K2"/>
    <mergeCell ref="C3:K3"/>
    <mergeCell ref="C4:G4"/>
    <mergeCell ref="H4:I4"/>
    <mergeCell ref="J4:K4"/>
    <mergeCell ref="C5:E5"/>
    <mergeCell ref="F5:G5"/>
    <mergeCell ref="C6:E6"/>
    <mergeCell ref="F6:G6"/>
    <mergeCell ref="C7:E7"/>
    <mergeCell ref="F7:G7"/>
    <mergeCell ref="C8:E8"/>
    <mergeCell ref="F8:G8"/>
    <mergeCell ref="C9:E9"/>
    <mergeCell ref="F9:G9"/>
    <mergeCell ref="B10:G10"/>
    <mergeCell ref="B11:K11"/>
    <mergeCell ref="B12:E12"/>
    <mergeCell ref="F12:K12"/>
    <mergeCell ref="B13:C13"/>
    <mergeCell ref="F13:K13"/>
    <mergeCell ref="B14:C14"/>
    <mergeCell ref="F14:K14"/>
  </mergeCells>
  <dataValidations count="2">
    <dataValidation type="whole" allowBlank="1" showInputMessage="1" prompt="請輸入0-100之間" showErrorMessage="1" error="請輸入0-100之間" sqref="F6">
      <formula1>0</formula1>
      <formula2>100</formula2>
    </dataValidation>
    <dataValidation type="whole" allowBlank="1" showInputMessage="1" showErrorMessage="1" error="請輸入0-100之間" sqref="F7:F9">
      <formula1>0</formula1>
      <formula2>100</formula2>
    </dataValidation>
  </dataValidations>
  <printOptions horizontalCentered="1"/>
  <pageMargins left="0.03937007874015748" right="0.03937007874015748" top="0.5511811023622047" bottom="0.7480314960629921" header="0.31496062992125984" footer="0.31496062992125984"/>
  <pageSetup paperSize="9" orientation="portrait" horizontalDpi="2147483648" verticalDpi="2147483648" scale="100" fitToWidth="1" fitToHeight="1" firstPageNumber="1" useFirstPageNumber="1" copies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5"/>
  <sheetViews>
    <sheetView workbookViewId="0" zoomScale="100" zoomScaleNormal="100">
      <selection activeCell="C3" sqref="C3"/>
    </sheetView>
  </sheetViews>
  <sheetFormatPr defaultRowHeight="15" outlineLevelRow="0" outlineLevelCol="0" x14ac:dyDescent="0" defaultColWidth="11.19921875"/>
  <cols>
    <col min="1" max="1" width="0.09765625" style="1" hidden="1" customWidth="1"/>
    <col min="2" max="2" width="16.69921875" style="2" customWidth="1"/>
    <col min="3" max="3" width="18.59765625" style="2" customWidth="1"/>
    <col min="4" max="4" width="5.5" style="2" hidden="1" customWidth="1"/>
    <col min="5" max="5" width="32" style="3" customWidth="1"/>
    <col min="6" max="6" width="4.69921875" style="4" customWidth="1"/>
    <col min="7" max="7" width="7.59765625" style="4" customWidth="1"/>
    <col min="8" max="10" width="6.59765625" style="5" customWidth="1"/>
    <col min="11" max="11" width="7.09765625" style="5" customWidth="1"/>
    <col min="12" max="16384" width="11.19921875" style="1" customWidth="1"/>
  </cols>
  <sheetData>
    <row r="1" ht="36.65" customHeight="1" spans="1:11" s="6" customFormat="1" x14ac:dyDescent="0.25">
      <c r="A1" s="7"/>
      <c r="B1" s="8" t="s">
        <v>0</v>
      </c>
      <c r="C1" s="9"/>
      <c r="D1" s="9"/>
      <c r="E1" s="9"/>
      <c r="F1" s="9"/>
      <c r="G1" s="9"/>
      <c r="H1" s="9"/>
      <c r="I1" s="9"/>
      <c r="J1" s="9"/>
      <c r="K1" s="10"/>
    </row>
    <row r="2" ht="35.25" customHeight="1" spans="1:11" x14ac:dyDescent="0.25">
      <c r="A2" s="7"/>
      <c r="B2" s="11" t="s">
        <v>1</v>
      </c>
      <c r="C2" s="11" t="s">
        <v>40</v>
      </c>
      <c r="D2" s="11"/>
      <c r="E2" s="11"/>
      <c r="F2" s="11" t="s">
        <v>3</v>
      </c>
      <c r="G2" s="11"/>
      <c r="H2" s="11" t="s">
        <v>41</v>
      </c>
      <c r="I2" s="11"/>
      <c r="J2" s="11"/>
      <c r="K2" s="11"/>
    </row>
    <row r="3" ht="58.9" customHeight="1" spans="1:11" x14ac:dyDescent="0.25">
      <c r="A3" s="7"/>
      <c r="B3" s="12" t="s">
        <v>5</v>
      </c>
      <c r="C3" s="13" t="s">
        <v>42</v>
      </c>
      <c r="D3" s="14"/>
      <c r="E3" s="14"/>
      <c r="F3" s="14"/>
      <c r="G3" s="14"/>
      <c r="H3" s="14"/>
      <c r="I3" s="14"/>
      <c r="J3" s="14"/>
      <c r="K3" s="15"/>
    </row>
    <row r="4" ht="35.25" customHeight="1" spans="1:11" x14ac:dyDescent="0.25">
      <c r="A4" s="7"/>
      <c r="B4" s="12" t="s">
        <v>7</v>
      </c>
      <c r="C4" s="12" t="s">
        <v>8</v>
      </c>
      <c r="D4" s="12"/>
      <c r="E4" s="12"/>
      <c r="F4" s="12"/>
      <c r="G4" s="12"/>
      <c r="H4" s="16" t="s">
        <v>9</v>
      </c>
      <c r="I4" s="16"/>
      <c r="J4" s="16" t="s">
        <v>10</v>
      </c>
      <c r="K4" s="16"/>
    </row>
    <row r="5" ht="30" customHeight="1" spans="1:11" x14ac:dyDescent="0.25">
      <c r="A5" s="7"/>
      <c r="B5" s="11" t="s">
        <v>11</v>
      </c>
      <c r="C5" s="17" t="s">
        <v>12</v>
      </c>
      <c r="D5" s="17"/>
      <c r="E5" s="17"/>
      <c r="F5" s="17" t="s">
        <v>13</v>
      </c>
      <c r="G5" s="17"/>
      <c r="H5" s="16" t="s">
        <v>14</v>
      </c>
      <c r="I5" s="16" t="s">
        <v>15</v>
      </c>
      <c r="J5" s="16" t="s">
        <v>14</v>
      </c>
      <c r="K5" s="16" t="s">
        <v>15</v>
      </c>
    </row>
    <row r="6" ht="64.5" customHeight="1" spans="1:11" x14ac:dyDescent="0.25">
      <c r="A6" s="7"/>
      <c r="B6" s="11" t="s">
        <v>16</v>
      </c>
      <c r="C6" s="18" t="s">
        <v>17</v>
      </c>
      <c r="D6" s="18"/>
      <c r="E6" s="18"/>
      <c r="F6" s="19"/>
      <c r="G6" s="19"/>
      <c r="H6" s="20">
        <v>0.3</v>
      </c>
      <c r="I6" s="20">
        <v>0.2</v>
      </c>
      <c r="J6" s="20">
        <v>0.3</v>
      </c>
      <c r="K6" s="20">
        <v>0.25</v>
      </c>
    </row>
    <row r="7" ht="81.15" customHeight="1" spans="1:11" x14ac:dyDescent="0.25">
      <c r="A7" s="7"/>
      <c r="B7" s="11" t="s">
        <v>18</v>
      </c>
      <c r="C7" s="18" t="s">
        <v>19</v>
      </c>
      <c r="D7" s="18"/>
      <c r="E7" s="18"/>
      <c r="F7" s="19"/>
      <c r="G7" s="19"/>
      <c r="H7" s="20">
        <v>0.3</v>
      </c>
      <c r="I7" s="20">
        <v>0.2</v>
      </c>
      <c r="J7" s="20">
        <v>0.4</v>
      </c>
      <c r="K7" s="20">
        <v>0.25</v>
      </c>
    </row>
    <row r="8" ht="53.4" customHeight="1" spans="1:11" x14ac:dyDescent="0.25">
      <c r="A8" s="7"/>
      <c r="B8" s="11" t="s">
        <v>20</v>
      </c>
      <c r="C8" s="21" t="s">
        <v>21</v>
      </c>
      <c r="D8" s="22"/>
      <c r="E8" s="18"/>
      <c r="F8" s="19"/>
      <c r="G8" s="19"/>
      <c r="H8" s="20">
        <v>0.1</v>
      </c>
      <c r="I8" s="20">
        <v>0.1</v>
      </c>
      <c r="J8" s="20">
        <v>0</v>
      </c>
      <c r="K8" s="20">
        <v>0</v>
      </c>
    </row>
    <row r="9" ht="40.25" customHeight="1" spans="1:11" x14ac:dyDescent="0.25">
      <c r="A9" s="7"/>
      <c r="B9" s="11" t="s">
        <v>22</v>
      </c>
      <c r="C9" s="18" t="s">
        <v>23</v>
      </c>
      <c r="D9" s="18"/>
      <c r="E9" s="18"/>
      <c r="F9" s="19"/>
      <c r="G9" s="19"/>
      <c r="H9" s="20">
        <v>0.3</v>
      </c>
      <c r="I9" s="20">
        <v>0.5</v>
      </c>
      <c r="J9" s="20">
        <v>0.3</v>
      </c>
      <c r="K9" s="20">
        <v>0.5</v>
      </c>
    </row>
    <row r="10" ht="50.4" customHeight="1" spans="1:11" x14ac:dyDescent="0.25">
      <c r="A10" s="7"/>
      <c r="B10" s="23" t="s">
        <v>24</v>
      </c>
      <c r="C10" s="23"/>
      <c r="D10" s="23"/>
      <c r="E10" s="24"/>
      <c r="F10" s="24"/>
      <c r="G10" s="24"/>
      <c r="H10" s="20">
        <f>SUM(H6:H9)</f>
      </c>
      <c r="I10" s="20">
        <f>SUM(I6:I9)</f>
      </c>
      <c r="J10" s="20">
        <f>SUM(J6:J9)</f>
      </c>
      <c r="K10" s="20">
        <f>SUM(K6:K9)</f>
      </c>
    </row>
    <row r="11" ht="43.25" customHeight="1" spans="1:11" x14ac:dyDescent="0.25">
      <c r="A11" s="7"/>
      <c r="B11" s="25"/>
      <c r="C11" s="26"/>
      <c r="D11" s="26"/>
      <c r="E11" s="26"/>
      <c r="F11" s="26"/>
      <c r="G11" s="26"/>
      <c r="H11" s="26"/>
      <c r="I11" s="26"/>
      <c r="J11" s="26"/>
      <c r="K11" s="27"/>
    </row>
    <row r="12" ht="31.75" customHeight="1" spans="1:11" x14ac:dyDescent="0.25">
      <c r="A12" s="7"/>
      <c r="B12" s="17" t="s">
        <v>25</v>
      </c>
      <c r="C12" s="17"/>
      <c r="D12" s="17"/>
      <c r="E12" s="17"/>
      <c r="F12" s="17" t="s">
        <v>26</v>
      </c>
      <c r="G12" s="17"/>
      <c r="H12" s="17"/>
      <c r="I12" s="17"/>
      <c r="J12" s="17"/>
      <c r="K12" s="17"/>
    </row>
    <row r="13" ht="30" customHeight="1" spans="1:11" x14ac:dyDescent="0.25">
      <c r="A13" s="7"/>
      <c r="B13" s="17" t="s">
        <v>14</v>
      </c>
      <c r="C13" s="17"/>
      <c r="D13" s="17">
        <f>IFERROR(
            IF(
                INDEX(參數!$A:$D, MATCH(C2, 參數!$B:$B, 0), 4) = "員工",
                ROUND(SUM(F6*J6, F7*J7, F8*J8, F9*J9), 0),
                IF(
                    INDEX(參數!$A:$D, MATCH(C2, 參數!$B:$B, 0), 4) = "主管",
                    ROUND(SUM(F6*H6, F7*H7, F8*H8, F9*H9), 0),
                    ""
                )
            ),
            ""
        )</f>
      </c>
      <c r="E13" s="28">
        <f t="array" ref="E13">IF(AND(ISNUMBER($D$13),$D$13&gt;0),
    IFERROR(
        _xlfn.IFS(
            $D$13&gt;=90,"考核:優",
            $D$13&gt;=80,"考核:甲",
            $D$13&gt;=70,"考核:乙",
            $D$13&gt;=60,"考核:丙",
            $D$13&gt;=50,"考核:丁",
            $D$13&gt;=1,"考核:戊"
        ),
        ""
    ),
    ""
)</f>
      </c>
      <c r="F13" s="29"/>
      <c r="G13" s="29"/>
      <c r="H13" s="29"/>
      <c r="I13" s="29"/>
      <c r="J13" s="29"/>
      <c r="K13" s="29"/>
    </row>
    <row r="14" ht="30" customHeight="1" spans="1:11" x14ac:dyDescent="0.25">
      <c r="A14" s="7"/>
      <c r="B14" s="17" t="s">
        <v>15</v>
      </c>
      <c r="C14" s="17"/>
      <c r="D14" s="17">
        <f>IFERROR(
        IF(
            INDEX(參數!$A:$D, MATCH(C2, 參數!$B:$B, 0), 4) = "員工",
            ROUND(SUM(F6*K6, F7*K7, F8*K8, F9*K9), 0),
            IF(
                INDEX(參數!$A:$D, MATCH(C2, 參數!$B:$B, 0), 4) = "主管",
                ROUND(SUM(F6*I6, F7*I7, F8*I8, F9*I9), 0),
                ""
            )
        ),
        ""
    )</f>
      </c>
      <c r="E14" s="28">
        <f t="array" ref="E14">IF(AND(ISNUMBER($D$14),$D$14&gt;0),
    IFERROR(
        _xlfn.IFS(
            $D$14&gt;=90,"績效:優",
            $D$14&gt;=80,"績效:甲",
            $D$14&gt;=70,"績效:乙",
            $D$14&gt;=60,"績效:丙",
            $D$14&gt;=50,"績效:丁",
            $D$14&gt;=1,"績效:戊"
        ),
        ""
    ),
    ""
)</f>
      </c>
      <c r="F14" s="29"/>
      <c r="G14" s="29"/>
      <c r="H14" s="29"/>
      <c r="I14" s="29"/>
      <c r="J14" s="29"/>
      <c r="K14" s="29"/>
    </row>
    <row r="15" ht="19.25" customHeight="1" spans="2:11" s="30" customFormat="1" x14ac:dyDescent="0.25">
      <c r="B15" s="31" t="s">
        <v>27</v>
      </c>
      <c r="C15" s="32"/>
      <c r="D15" s="32"/>
      <c r="E15" s="32"/>
      <c r="F15" s="33"/>
      <c r="G15" s="34"/>
      <c r="H15" s="5"/>
      <c r="I15" s="5"/>
      <c r="J15" s="5"/>
      <c r="K15" s="5"/>
    </row>
    <row r="16" spans="2:11" s="30" customFormat="1" x14ac:dyDescent="0.25">
      <c r="B16" s="31" t="s">
        <v>28</v>
      </c>
      <c r="C16" s="32"/>
      <c r="D16" s="32"/>
      <c r="E16" s="32"/>
      <c r="F16" s="34"/>
      <c r="G16" s="34"/>
      <c r="H16" s="5"/>
      <c r="I16" s="5"/>
      <c r="J16" s="5"/>
      <c r="K16" s="5"/>
    </row>
    <row r="17" spans="2:11" s="30" customFormat="1" x14ac:dyDescent="0.25">
      <c r="B17" s="31" t="s">
        <v>29</v>
      </c>
      <c r="C17" s="32"/>
      <c r="D17" s="32"/>
      <c r="E17" s="32"/>
      <c r="F17" s="34"/>
      <c r="G17" s="34"/>
      <c r="H17" s="5"/>
      <c r="I17" s="5"/>
      <c r="J17" s="5"/>
      <c r="K17" s="5"/>
    </row>
    <row r="18" spans="2:11" s="30" customFormat="1" x14ac:dyDescent="0.25">
      <c r="B18" s="31" t="s">
        <v>30</v>
      </c>
      <c r="C18" s="32"/>
      <c r="D18" s="32"/>
      <c r="E18" s="32"/>
      <c r="F18" s="34"/>
      <c r="G18" s="34"/>
      <c r="H18" s="5"/>
      <c r="I18" s="5"/>
      <c r="J18" s="5"/>
      <c r="K18" s="5"/>
    </row>
    <row r="19" spans="2:11" s="30" customFormat="1" x14ac:dyDescent="0.25">
      <c r="B19" s="31" t="s">
        <v>31</v>
      </c>
      <c r="C19" s="32"/>
      <c r="D19" s="32"/>
      <c r="E19" s="32"/>
      <c r="F19" s="34"/>
      <c r="G19" s="34"/>
      <c r="H19" s="5"/>
      <c r="I19" s="5"/>
      <c r="J19" s="5"/>
      <c r="K19" s="5"/>
    </row>
    <row r="20" spans="2:11" s="30" customFormat="1" x14ac:dyDescent="0.25">
      <c r="B20" s="31" t="s">
        <v>32</v>
      </c>
      <c r="C20" s="32"/>
      <c r="D20" s="32"/>
      <c r="E20" s="32"/>
      <c r="F20" s="34"/>
      <c r="G20" s="34"/>
      <c r="H20" s="5"/>
      <c r="I20" s="5"/>
      <c r="J20" s="5"/>
      <c r="K20" s="5"/>
    </row>
    <row r="21" spans="2:11" s="30" customFormat="1" x14ac:dyDescent="0.25">
      <c r="B21" s="31" t="s">
        <v>33</v>
      </c>
      <c r="C21" s="32"/>
      <c r="D21" s="32"/>
      <c r="E21" s="32"/>
      <c r="F21" s="34"/>
      <c r="G21" s="34"/>
      <c r="H21" s="5"/>
      <c r="I21" s="5"/>
      <c r="J21" s="5"/>
      <c r="K21" s="5"/>
    </row>
    <row r="22" spans="2:11" s="30" customFormat="1" x14ac:dyDescent="0.25">
      <c r="B22" s="31" t="s">
        <v>34</v>
      </c>
      <c r="C22" s="32"/>
      <c r="D22" s="32"/>
      <c r="E22" s="32"/>
      <c r="F22" s="34"/>
      <c r="G22" s="34"/>
      <c r="H22" s="5"/>
      <c r="I22" s="5"/>
      <c r="J22" s="5"/>
      <c r="K22" s="5"/>
    </row>
    <row r="23" spans="2:11" s="30" customFormat="1" x14ac:dyDescent="0.25">
      <c r="B23" s="31"/>
      <c r="C23" s="32"/>
      <c r="D23" s="32"/>
      <c r="E23" s="32"/>
      <c r="F23" s="34"/>
      <c r="G23" s="34"/>
      <c r="H23" s="5"/>
      <c r="I23" s="5"/>
      <c r="J23" s="5"/>
      <c r="K23" s="5"/>
    </row>
    <row r="24" spans="2:2" x14ac:dyDescent="0.25">
      <c r="B24" s="35"/>
    </row>
    <row r="25" spans="2:2" x14ac:dyDescent="0.25">
      <c r="B25" s="35"/>
    </row>
  </sheetData>
  <sheetProtection sheet="1" selectLockedCells="1" algorithmName="SHA-512" hashValue="z6zCyYO+1ixaDZfCcGvGJIQEqJqgx1RWV6GtNq/dvjTgKQ1HEyik1CfUF/1JD+pop7XfvfI3NONZRp9cwo0NeQ==" saltValue="FpK8v4x4U+Vjdl5hOO/uIw==" spinCount="100000"/>
  <mergeCells count="26">
    <mergeCell ref="B1:K1"/>
    <mergeCell ref="C2:E2"/>
    <mergeCell ref="F2:G2"/>
    <mergeCell ref="H2:K2"/>
    <mergeCell ref="C3:K3"/>
    <mergeCell ref="C4:G4"/>
    <mergeCell ref="H4:I4"/>
    <mergeCell ref="J4:K4"/>
    <mergeCell ref="C5:E5"/>
    <mergeCell ref="F5:G5"/>
    <mergeCell ref="C6:E6"/>
    <mergeCell ref="F6:G6"/>
    <mergeCell ref="C7:E7"/>
    <mergeCell ref="F7:G7"/>
    <mergeCell ref="C8:E8"/>
    <mergeCell ref="F8:G8"/>
    <mergeCell ref="C9:E9"/>
    <mergeCell ref="F9:G9"/>
    <mergeCell ref="B10:G10"/>
    <mergeCell ref="B11:K11"/>
    <mergeCell ref="B12:E12"/>
    <mergeCell ref="F12:K12"/>
    <mergeCell ref="B13:C13"/>
    <mergeCell ref="F13:K13"/>
    <mergeCell ref="B14:C14"/>
    <mergeCell ref="F14:K14"/>
  </mergeCells>
  <dataValidations count="2">
    <dataValidation type="whole" allowBlank="1" showInputMessage="1" prompt="請輸入0-100之間" showErrorMessage="1" error="請輸入0-100之間" sqref="F6">
      <formula1>0</formula1>
      <formula2>100</formula2>
    </dataValidation>
    <dataValidation type="whole" allowBlank="1" showInputMessage="1" showErrorMessage="1" error="請輸入0-100之間" sqref="F7:F9">
      <formula1>0</formula1>
      <formula2>100</formula2>
    </dataValidation>
  </dataValidations>
  <printOptions horizontalCentered="1"/>
  <pageMargins left="0.03937007874015748" right="0.03937007874015748" top="0.5511811023622047" bottom="0.7480314960629921" header="0.31496062992125984" footer="0.31496062992125984"/>
  <pageSetup paperSize="9" orientation="portrait" horizontalDpi="2147483648" verticalDpi="2147483648" scale="100" fitToWidth="1" fitToHeight="1" firstPageNumber="1" useFirstPageNumber="1" copies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5"/>
  <sheetViews>
    <sheetView workbookViewId="0" zoomScale="100" zoomScaleNormal="100">
      <selection activeCell="C3" sqref="C3"/>
    </sheetView>
  </sheetViews>
  <sheetFormatPr defaultRowHeight="15" outlineLevelRow="0" outlineLevelCol="0" x14ac:dyDescent="0" defaultColWidth="11.19921875"/>
  <cols>
    <col min="1" max="1" width="0.09765625" style="1" hidden="1" customWidth="1"/>
    <col min="2" max="2" width="16.69921875" style="2" customWidth="1"/>
    <col min="3" max="3" width="18.59765625" style="2" customWidth="1"/>
    <col min="4" max="4" width="5.5" style="2" hidden="1" customWidth="1"/>
    <col min="5" max="5" width="32" style="3" customWidth="1"/>
    <col min="6" max="6" width="4.69921875" style="4" customWidth="1"/>
    <col min="7" max="7" width="7.59765625" style="4" customWidth="1"/>
    <col min="8" max="10" width="6.59765625" style="5" customWidth="1"/>
    <col min="11" max="11" width="7.09765625" style="5" customWidth="1"/>
    <col min="12" max="16384" width="11.19921875" style="1" customWidth="1"/>
  </cols>
  <sheetData>
    <row r="1" ht="36.65" customHeight="1" spans="1:11" s="6" customFormat="1" x14ac:dyDescent="0.25">
      <c r="A1" s="7"/>
      <c r="B1" s="8" t="s">
        <v>0</v>
      </c>
      <c r="C1" s="9"/>
      <c r="D1" s="9"/>
      <c r="E1" s="9"/>
      <c r="F1" s="9"/>
      <c r="G1" s="9"/>
      <c r="H1" s="9"/>
      <c r="I1" s="9"/>
      <c r="J1" s="9"/>
      <c r="K1" s="10"/>
    </row>
    <row r="2" ht="35.25" customHeight="1" spans="1:11" x14ac:dyDescent="0.25">
      <c r="A2" s="7"/>
      <c r="B2" s="11" t="s">
        <v>1</v>
      </c>
      <c r="C2" s="11" t="s">
        <v>43</v>
      </c>
      <c r="D2" s="11"/>
      <c r="E2" s="11"/>
      <c r="F2" s="11" t="s">
        <v>3</v>
      </c>
      <c r="G2" s="11"/>
      <c r="H2" s="11" t="s">
        <v>41</v>
      </c>
      <c r="I2" s="11"/>
      <c r="J2" s="11"/>
      <c r="K2" s="11"/>
    </row>
    <row r="3" ht="58.9" customHeight="1" spans="1:11" x14ac:dyDescent="0.25">
      <c r="A3" s="7"/>
      <c r="B3" s="12" t="s">
        <v>5</v>
      </c>
      <c r="C3" s="13" t="s">
        <v>44</v>
      </c>
      <c r="D3" s="14"/>
      <c r="E3" s="14"/>
      <c r="F3" s="14"/>
      <c r="G3" s="14"/>
      <c r="H3" s="14"/>
      <c r="I3" s="14"/>
      <c r="J3" s="14"/>
      <c r="K3" s="15"/>
    </row>
    <row r="4" ht="35.25" customHeight="1" spans="1:11" x14ac:dyDescent="0.25">
      <c r="A4" s="7"/>
      <c r="B4" s="12" t="s">
        <v>7</v>
      </c>
      <c r="C4" s="12" t="s">
        <v>8</v>
      </c>
      <c r="D4" s="12"/>
      <c r="E4" s="12"/>
      <c r="F4" s="12"/>
      <c r="G4" s="12"/>
      <c r="H4" s="16" t="s">
        <v>9</v>
      </c>
      <c r="I4" s="16"/>
      <c r="J4" s="16" t="s">
        <v>10</v>
      </c>
      <c r="K4" s="16"/>
    </row>
    <row r="5" ht="30" customHeight="1" spans="1:11" x14ac:dyDescent="0.25">
      <c r="A5" s="7"/>
      <c r="B5" s="11" t="s">
        <v>11</v>
      </c>
      <c r="C5" s="17" t="s">
        <v>12</v>
      </c>
      <c r="D5" s="17"/>
      <c r="E5" s="17"/>
      <c r="F5" s="17" t="s">
        <v>13</v>
      </c>
      <c r="G5" s="17"/>
      <c r="H5" s="16" t="s">
        <v>14</v>
      </c>
      <c r="I5" s="16" t="s">
        <v>15</v>
      </c>
      <c r="J5" s="16" t="s">
        <v>14</v>
      </c>
      <c r="K5" s="16" t="s">
        <v>15</v>
      </c>
    </row>
    <row r="6" ht="64.5" customHeight="1" spans="1:11" x14ac:dyDescent="0.25">
      <c r="A6" s="7"/>
      <c r="B6" s="11" t="s">
        <v>16</v>
      </c>
      <c r="C6" s="18" t="s">
        <v>17</v>
      </c>
      <c r="D6" s="18"/>
      <c r="E6" s="18"/>
      <c r="F6" s="19"/>
      <c r="G6" s="19"/>
      <c r="H6" s="20">
        <v>0.3</v>
      </c>
      <c r="I6" s="20">
        <v>0.2</v>
      </c>
      <c r="J6" s="20">
        <v>0.3</v>
      </c>
      <c r="K6" s="20">
        <v>0.25</v>
      </c>
    </row>
    <row r="7" ht="81.15" customHeight="1" spans="1:11" x14ac:dyDescent="0.25">
      <c r="A7" s="7"/>
      <c r="B7" s="11" t="s">
        <v>18</v>
      </c>
      <c r="C7" s="18" t="s">
        <v>19</v>
      </c>
      <c r="D7" s="18"/>
      <c r="E7" s="18"/>
      <c r="F7" s="19"/>
      <c r="G7" s="19"/>
      <c r="H7" s="20">
        <v>0.3</v>
      </c>
      <c r="I7" s="20">
        <v>0.2</v>
      </c>
      <c r="J7" s="20">
        <v>0.4</v>
      </c>
      <c r="K7" s="20">
        <v>0.25</v>
      </c>
    </row>
    <row r="8" ht="53.4" customHeight="1" spans="1:11" x14ac:dyDescent="0.25">
      <c r="A8" s="7"/>
      <c r="B8" s="11" t="s">
        <v>20</v>
      </c>
      <c r="C8" s="21" t="s">
        <v>21</v>
      </c>
      <c r="D8" s="22"/>
      <c r="E8" s="18"/>
      <c r="F8" s="19"/>
      <c r="G8" s="19"/>
      <c r="H8" s="20">
        <v>0.1</v>
      </c>
      <c r="I8" s="20">
        <v>0.1</v>
      </c>
      <c r="J8" s="20">
        <v>0</v>
      </c>
      <c r="K8" s="20">
        <v>0</v>
      </c>
    </row>
    <row r="9" ht="40.25" customHeight="1" spans="1:11" x14ac:dyDescent="0.25">
      <c r="A9" s="7"/>
      <c r="B9" s="11" t="s">
        <v>22</v>
      </c>
      <c r="C9" s="18" t="s">
        <v>23</v>
      </c>
      <c r="D9" s="18"/>
      <c r="E9" s="18"/>
      <c r="F9" s="19"/>
      <c r="G9" s="19"/>
      <c r="H9" s="20">
        <v>0.3</v>
      </c>
      <c r="I9" s="20">
        <v>0.5</v>
      </c>
      <c r="J9" s="20">
        <v>0.3</v>
      </c>
      <c r="K9" s="20">
        <v>0.5</v>
      </c>
    </row>
    <row r="10" ht="50.4" customHeight="1" spans="1:11" x14ac:dyDescent="0.25">
      <c r="A10" s="7"/>
      <c r="B10" s="23" t="s">
        <v>24</v>
      </c>
      <c r="C10" s="23"/>
      <c r="D10" s="23"/>
      <c r="E10" s="24"/>
      <c r="F10" s="24"/>
      <c r="G10" s="24"/>
      <c r="H10" s="20">
        <f>SUM(H6:H9)</f>
      </c>
      <c r="I10" s="20">
        <f>SUM(I6:I9)</f>
      </c>
      <c r="J10" s="20">
        <f>SUM(J6:J9)</f>
      </c>
      <c r="K10" s="20">
        <f>SUM(K6:K9)</f>
      </c>
    </row>
    <row r="11" ht="43.25" customHeight="1" spans="1:11" x14ac:dyDescent="0.25">
      <c r="A11" s="7"/>
      <c r="B11" s="25"/>
      <c r="C11" s="26"/>
      <c r="D11" s="26"/>
      <c r="E11" s="26"/>
      <c r="F11" s="26"/>
      <c r="G11" s="26"/>
      <c r="H11" s="26"/>
      <c r="I11" s="26"/>
      <c r="J11" s="26"/>
      <c r="K11" s="27"/>
    </row>
    <row r="12" ht="31.75" customHeight="1" spans="1:11" x14ac:dyDescent="0.25">
      <c r="A12" s="7"/>
      <c r="B12" s="17" t="s">
        <v>25</v>
      </c>
      <c r="C12" s="17"/>
      <c r="D12" s="17"/>
      <c r="E12" s="17"/>
      <c r="F12" s="17" t="s">
        <v>26</v>
      </c>
      <c r="G12" s="17"/>
      <c r="H12" s="17"/>
      <c r="I12" s="17"/>
      <c r="J12" s="17"/>
      <c r="K12" s="17"/>
    </row>
    <row r="13" ht="30" customHeight="1" spans="1:11" x14ac:dyDescent="0.25">
      <c r="A13" s="7"/>
      <c r="B13" s="17" t="s">
        <v>14</v>
      </c>
      <c r="C13" s="17"/>
      <c r="D13" s="17">
        <f>IFERROR(
            IF(
                INDEX(參數!$A:$D, MATCH(C2, 參數!$B:$B, 0), 4) = "員工",
                ROUND(SUM(F6*J6, F7*J7, F8*J8, F9*J9), 0),
                IF(
                    INDEX(參數!$A:$D, MATCH(C2, 參數!$B:$B, 0), 4) = "主管",
                    ROUND(SUM(F6*H6, F7*H7, F8*H8, F9*H9), 0),
                    ""
                )
            ),
            ""
        )</f>
      </c>
      <c r="E13" s="28">
        <f t="array" ref="E13">IF(AND(ISNUMBER($D$13),$D$13&gt;0),
    IFERROR(
        _xlfn.IFS(
            $D$13&gt;=90,"考核:優",
            $D$13&gt;=80,"考核:甲",
            $D$13&gt;=70,"考核:乙",
            $D$13&gt;=60,"考核:丙",
            $D$13&gt;=50,"考核:丁",
            $D$13&gt;=1,"考核:戊"
        ),
        ""
    ),
    ""
)</f>
      </c>
      <c r="F13" s="29"/>
      <c r="G13" s="29"/>
      <c r="H13" s="29"/>
      <c r="I13" s="29"/>
      <c r="J13" s="29"/>
      <c r="K13" s="29"/>
    </row>
    <row r="14" ht="30" customHeight="1" spans="1:11" x14ac:dyDescent="0.25">
      <c r="A14" s="7"/>
      <c r="B14" s="17" t="s">
        <v>15</v>
      </c>
      <c r="C14" s="17"/>
      <c r="D14" s="17">
        <f>IFERROR(
        IF(
            INDEX(參數!$A:$D, MATCH(C2, 參數!$B:$B, 0), 4) = "員工",
            ROUND(SUM(F6*K6, F7*K7, F8*K8, F9*K9), 0),
            IF(
                INDEX(參數!$A:$D, MATCH(C2, 參數!$B:$B, 0), 4) = "主管",
                ROUND(SUM(F6*I6, F7*I7, F8*I8, F9*I9), 0),
                ""
            )
        ),
        ""
    )</f>
      </c>
      <c r="E14" s="28">
        <f t="array" ref="E14">IF(AND(ISNUMBER($D$14),$D$14&gt;0),
    IFERROR(
        _xlfn.IFS(
            $D$14&gt;=90,"績效:優",
            $D$14&gt;=80,"績效:甲",
            $D$14&gt;=70,"績效:乙",
            $D$14&gt;=60,"績效:丙",
            $D$14&gt;=50,"績效:丁",
            $D$14&gt;=1,"績效:戊"
        ),
        ""
    ),
    ""
)</f>
      </c>
      <c r="F14" s="29"/>
      <c r="G14" s="29"/>
      <c r="H14" s="29"/>
      <c r="I14" s="29"/>
      <c r="J14" s="29"/>
      <c r="K14" s="29"/>
    </row>
    <row r="15" ht="19.25" customHeight="1" spans="2:11" s="30" customFormat="1" x14ac:dyDescent="0.25">
      <c r="B15" s="31" t="s">
        <v>27</v>
      </c>
      <c r="C15" s="32"/>
      <c r="D15" s="32"/>
      <c r="E15" s="32"/>
      <c r="F15" s="33"/>
      <c r="G15" s="34"/>
      <c r="H15" s="5"/>
      <c r="I15" s="5"/>
      <c r="J15" s="5"/>
      <c r="K15" s="5"/>
    </row>
    <row r="16" spans="2:11" s="30" customFormat="1" x14ac:dyDescent="0.25">
      <c r="B16" s="31" t="s">
        <v>28</v>
      </c>
      <c r="C16" s="32"/>
      <c r="D16" s="32"/>
      <c r="E16" s="32"/>
      <c r="F16" s="34"/>
      <c r="G16" s="34"/>
      <c r="H16" s="5"/>
      <c r="I16" s="5"/>
      <c r="J16" s="5"/>
      <c r="K16" s="5"/>
    </row>
    <row r="17" spans="2:11" s="30" customFormat="1" x14ac:dyDescent="0.25">
      <c r="B17" s="31" t="s">
        <v>29</v>
      </c>
      <c r="C17" s="32"/>
      <c r="D17" s="32"/>
      <c r="E17" s="32"/>
      <c r="F17" s="34"/>
      <c r="G17" s="34"/>
      <c r="H17" s="5"/>
      <c r="I17" s="5"/>
      <c r="J17" s="5"/>
      <c r="K17" s="5"/>
    </row>
    <row r="18" spans="2:11" s="30" customFormat="1" x14ac:dyDescent="0.25">
      <c r="B18" s="31" t="s">
        <v>30</v>
      </c>
      <c r="C18" s="32"/>
      <c r="D18" s="32"/>
      <c r="E18" s="32"/>
      <c r="F18" s="34"/>
      <c r="G18" s="34"/>
      <c r="H18" s="5"/>
      <c r="I18" s="5"/>
      <c r="J18" s="5"/>
      <c r="K18" s="5"/>
    </row>
    <row r="19" spans="2:11" s="30" customFormat="1" x14ac:dyDescent="0.25">
      <c r="B19" s="31" t="s">
        <v>31</v>
      </c>
      <c r="C19" s="32"/>
      <c r="D19" s="32"/>
      <c r="E19" s="32"/>
      <c r="F19" s="34"/>
      <c r="G19" s="34"/>
      <c r="H19" s="5"/>
      <c r="I19" s="5"/>
      <c r="J19" s="5"/>
      <c r="K19" s="5"/>
    </row>
    <row r="20" spans="2:11" s="30" customFormat="1" x14ac:dyDescent="0.25">
      <c r="B20" s="31" t="s">
        <v>32</v>
      </c>
      <c r="C20" s="32"/>
      <c r="D20" s="32"/>
      <c r="E20" s="32"/>
      <c r="F20" s="34"/>
      <c r="G20" s="34"/>
      <c r="H20" s="5"/>
      <c r="I20" s="5"/>
      <c r="J20" s="5"/>
      <c r="K20" s="5"/>
    </row>
    <row r="21" spans="2:11" s="30" customFormat="1" x14ac:dyDescent="0.25">
      <c r="B21" s="31" t="s">
        <v>33</v>
      </c>
      <c r="C21" s="32"/>
      <c r="D21" s="32"/>
      <c r="E21" s="32"/>
      <c r="F21" s="34"/>
      <c r="G21" s="34"/>
      <c r="H21" s="5"/>
      <c r="I21" s="5"/>
      <c r="J21" s="5"/>
      <c r="K21" s="5"/>
    </row>
    <row r="22" spans="2:11" s="30" customFormat="1" x14ac:dyDescent="0.25">
      <c r="B22" s="31" t="s">
        <v>34</v>
      </c>
      <c r="C22" s="32"/>
      <c r="D22" s="32"/>
      <c r="E22" s="32"/>
      <c r="F22" s="34"/>
      <c r="G22" s="34"/>
      <c r="H22" s="5"/>
      <c r="I22" s="5"/>
      <c r="J22" s="5"/>
      <c r="K22" s="5"/>
    </row>
    <row r="23" spans="2:11" s="30" customFormat="1" x14ac:dyDescent="0.25">
      <c r="B23" s="31"/>
      <c r="C23" s="32"/>
      <c r="D23" s="32"/>
      <c r="E23" s="32"/>
      <c r="F23" s="34"/>
      <c r="G23" s="34"/>
      <c r="H23" s="5"/>
      <c r="I23" s="5"/>
      <c r="J23" s="5"/>
      <c r="K23" s="5"/>
    </row>
    <row r="24" spans="2:2" x14ac:dyDescent="0.25">
      <c r="B24" s="35"/>
    </row>
    <row r="25" spans="2:2" x14ac:dyDescent="0.25">
      <c r="B25" s="35"/>
    </row>
  </sheetData>
  <sheetProtection sheet="1" selectLockedCells="1" algorithmName="SHA-512" hashValue="z6zCyYO+1ixaDZfCcGvGJIQEqJqgx1RWV6GtNq/dvjTgKQ1HEyik1CfUF/1JD+pop7XfvfI3NONZRp9cwo0NeQ==" saltValue="FpK8v4x4U+Vjdl5hOO/uIw==" spinCount="100000"/>
  <mergeCells count="26">
    <mergeCell ref="B1:K1"/>
    <mergeCell ref="C2:E2"/>
    <mergeCell ref="F2:G2"/>
    <mergeCell ref="H2:K2"/>
    <mergeCell ref="C3:K3"/>
    <mergeCell ref="C4:G4"/>
    <mergeCell ref="H4:I4"/>
    <mergeCell ref="J4:K4"/>
    <mergeCell ref="C5:E5"/>
    <mergeCell ref="F5:G5"/>
    <mergeCell ref="C6:E6"/>
    <mergeCell ref="F6:G6"/>
    <mergeCell ref="C7:E7"/>
    <mergeCell ref="F7:G7"/>
    <mergeCell ref="C8:E8"/>
    <mergeCell ref="F8:G8"/>
    <mergeCell ref="C9:E9"/>
    <mergeCell ref="F9:G9"/>
    <mergeCell ref="B10:G10"/>
    <mergeCell ref="B11:K11"/>
    <mergeCell ref="B12:E12"/>
    <mergeCell ref="F12:K12"/>
    <mergeCell ref="B13:C13"/>
    <mergeCell ref="F13:K13"/>
    <mergeCell ref="B14:C14"/>
    <mergeCell ref="F14:K14"/>
  </mergeCells>
  <dataValidations count="2">
    <dataValidation type="whole" allowBlank="1" showInputMessage="1" prompt="請輸入0-100之間" showErrorMessage="1" error="請輸入0-100之間" sqref="F6">
      <formula1>0</formula1>
      <formula2>100</formula2>
    </dataValidation>
    <dataValidation type="whole" allowBlank="1" showInputMessage="1" showErrorMessage="1" error="請輸入0-100之間" sqref="F7:F9">
      <formula1>0</formula1>
      <formula2>100</formula2>
    </dataValidation>
  </dataValidations>
  <printOptions horizontalCentered="1"/>
  <pageMargins left="0.03937007874015748" right="0.03937007874015748" top="0.5511811023622047" bottom="0.7480314960629921" header="0.31496062992125984" footer="0.31496062992125984"/>
  <pageSetup paperSize="9" orientation="portrait" horizontalDpi="2147483648" verticalDpi="2147483648" scale="100" fitToWidth="1" fitToHeight="1" firstPageNumber="1" useFirstPageNumber="1" copies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5"/>
  <sheetViews>
    <sheetView workbookViewId="0" zoomScale="100" zoomScaleNormal="100">
      <selection activeCell="C3" sqref="C3"/>
    </sheetView>
  </sheetViews>
  <sheetFormatPr defaultRowHeight="15" outlineLevelRow="0" outlineLevelCol="0" x14ac:dyDescent="0" defaultColWidth="11.19921875"/>
  <cols>
    <col min="1" max="1" width="0.09765625" style="1" hidden="1" customWidth="1"/>
    <col min="2" max="2" width="16.69921875" style="2" customWidth="1"/>
    <col min="3" max="3" width="18.59765625" style="2" customWidth="1"/>
    <col min="4" max="4" width="5.5" style="2" hidden="1" customWidth="1"/>
    <col min="5" max="5" width="32" style="3" customWidth="1"/>
    <col min="6" max="6" width="4.69921875" style="4" customWidth="1"/>
    <col min="7" max="7" width="7.59765625" style="4" customWidth="1"/>
    <col min="8" max="10" width="6.59765625" style="5" customWidth="1"/>
    <col min="11" max="11" width="7.09765625" style="5" customWidth="1"/>
    <col min="12" max="16384" width="11.19921875" style="1" customWidth="1"/>
  </cols>
  <sheetData>
    <row r="1" ht="36.65" customHeight="1" spans="1:11" s="6" customFormat="1" x14ac:dyDescent="0.25">
      <c r="A1" s="7"/>
      <c r="B1" s="8" t="s">
        <v>0</v>
      </c>
      <c r="C1" s="9"/>
      <c r="D1" s="9"/>
      <c r="E1" s="9"/>
      <c r="F1" s="9"/>
      <c r="G1" s="9"/>
      <c r="H1" s="9"/>
      <c r="I1" s="9"/>
      <c r="J1" s="9"/>
      <c r="K1" s="10"/>
    </row>
    <row r="2" ht="35.25" customHeight="1" spans="1:11" x14ac:dyDescent="0.25">
      <c r="A2" s="7"/>
      <c r="B2" s="11" t="s">
        <v>1</v>
      </c>
      <c r="C2" s="11" t="s">
        <v>45</v>
      </c>
      <c r="D2" s="11"/>
      <c r="E2" s="11"/>
      <c r="F2" s="11" t="s">
        <v>3</v>
      </c>
      <c r="G2" s="11"/>
      <c r="H2" s="11" t="s">
        <v>41</v>
      </c>
      <c r="I2" s="11"/>
      <c r="J2" s="11"/>
      <c r="K2" s="11"/>
    </row>
    <row r="3" ht="58.9" customHeight="1" spans="1:11" x14ac:dyDescent="0.25">
      <c r="A3" s="7"/>
      <c r="B3" s="12" t="s">
        <v>5</v>
      </c>
      <c r="C3" s="13" t="s">
        <v>42</v>
      </c>
      <c r="D3" s="14"/>
      <c r="E3" s="14"/>
      <c r="F3" s="14"/>
      <c r="G3" s="14"/>
      <c r="H3" s="14"/>
      <c r="I3" s="14"/>
      <c r="J3" s="14"/>
      <c r="K3" s="15"/>
    </row>
    <row r="4" ht="35.25" customHeight="1" spans="1:11" x14ac:dyDescent="0.25">
      <c r="A4" s="7"/>
      <c r="B4" s="12" t="s">
        <v>7</v>
      </c>
      <c r="C4" s="12" t="s">
        <v>8</v>
      </c>
      <c r="D4" s="12"/>
      <c r="E4" s="12"/>
      <c r="F4" s="12"/>
      <c r="G4" s="12"/>
      <c r="H4" s="16" t="s">
        <v>9</v>
      </c>
      <c r="I4" s="16"/>
      <c r="J4" s="16" t="s">
        <v>10</v>
      </c>
      <c r="K4" s="16"/>
    </row>
    <row r="5" ht="30" customHeight="1" spans="1:11" x14ac:dyDescent="0.25">
      <c r="A5" s="7"/>
      <c r="B5" s="11" t="s">
        <v>11</v>
      </c>
      <c r="C5" s="17" t="s">
        <v>12</v>
      </c>
      <c r="D5" s="17"/>
      <c r="E5" s="17"/>
      <c r="F5" s="17" t="s">
        <v>13</v>
      </c>
      <c r="G5" s="17"/>
      <c r="H5" s="16" t="s">
        <v>14</v>
      </c>
      <c r="I5" s="16" t="s">
        <v>15</v>
      </c>
      <c r="J5" s="16" t="s">
        <v>14</v>
      </c>
      <c r="K5" s="16" t="s">
        <v>15</v>
      </c>
    </row>
    <row r="6" ht="64.5" customHeight="1" spans="1:11" x14ac:dyDescent="0.25">
      <c r="A6" s="7"/>
      <c r="B6" s="11" t="s">
        <v>16</v>
      </c>
      <c r="C6" s="18" t="s">
        <v>17</v>
      </c>
      <c r="D6" s="18"/>
      <c r="E6" s="18"/>
      <c r="F6" s="19"/>
      <c r="G6" s="19"/>
      <c r="H6" s="20">
        <v>0.3</v>
      </c>
      <c r="I6" s="20">
        <v>0.2</v>
      </c>
      <c r="J6" s="20">
        <v>0.3</v>
      </c>
      <c r="K6" s="20">
        <v>0.25</v>
      </c>
    </row>
    <row r="7" ht="81.15" customHeight="1" spans="1:11" x14ac:dyDescent="0.25">
      <c r="A7" s="7"/>
      <c r="B7" s="11" t="s">
        <v>18</v>
      </c>
      <c r="C7" s="18" t="s">
        <v>19</v>
      </c>
      <c r="D7" s="18"/>
      <c r="E7" s="18"/>
      <c r="F7" s="19"/>
      <c r="G7" s="19"/>
      <c r="H7" s="20">
        <v>0.3</v>
      </c>
      <c r="I7" s="20">
        <v>0.2</v>
      </c>
      <c r="J7" s="20">
        <v>0.4</v>
      </c>
      <c r="K7" s="20">
        <v>0.25</v>
      </c>
    </row>
    <row r="8" ht="53.4" customHeight="1" spans="1:11" x14ac:dyDescent="0.25">
      <c r="A8" s="7"/>
      <c r="B8" s="11" t="s">
        <v>20</v>
      </c>
      <c r="C8" s="21" t="s">
        <v>21</v>
      </c>
      <c r="D8" s="22"/>
      <c r="E8" s="18"/>
      <c r="F8" s="19"/>
      <c r="G8" s="19"/>
      <c r="H8" s="20">
        <v>0.1</v>
      </c>
      <c r="I8" s="20">
        <v>0.1</v>
      </c>
      <c r="J8" s="20">
        <v>0</v>
      </c>
      <c r="K8" s="20">
        <v>0</v>
      </c>
    </row>
    <row r="9" ht="40.25" customHeight="1" spans="1:11" x14ac:dyDescent="0.25">
      <c r="A9" s="7"/>
      <c r="B9" s="11" t="s">
        <v>22</v>
      </c>
      <c r="C9" s="18" t="s">
        <v>23</v>
      </c>
      <c r="D9" s="18"/>
      <c r="E9" s="18"/>
      <c r="F9" s="19"/>
      <c r="G9" s="19"/>
      <c r="H9" s="20">
        <v>0.3</v>
      </c>
      <c r="I9" s="20">
        <v>0.5</v>
      </c>
      <c r="J9" s="20">
        <v>0.3</v>
      </c>
      <c r="K9" s="20">
        <v>0.5</v>
      </c>
    </row>
    <row r="10" ht="50.4" customHeight="1" spans="1:11" x14ac:dyDescent="0.25">
      <c r="A10" s="7"/>
      <c r="B10" s="23" t="s">
        <v>24</v>
      </c>
      <c r="C10" s="23"/>
      <c r="D10" s="23"/>
      <c r="E10" s="24"/>
      <c r="F10" s="24"/>
      <c r="G10" s="24"/>
      <c r="H10" s="20">
        <f>SUM(H6:H9)</f>
      </c>
      <c r="I10" s="20">
        <f>SUM(I6:I9)</f>
      </c>
      <c r="J10" s="20">
        <f>SUM(J6:J9)</f>
      </c>
      <c r="K10" s="20">
        <f>SUM(K6:K9)</f>
      </c>
    </row>
    <row r="11" ht="43.25" customHeight="1" spans="1:11" x14ac:dyDescent="0.25">
      <c r="A11" s="7"/>
      <c r="B11" s="25"/>
      <c r="C11" s="26"/>
      <c r="D11" s="26"/>
      <c r="E11" s="26"/>
      <c r="F11" s="26"/>
      <c r="G11" s="26"/>
      <c r="H11" s="26"/>
      <c r="I11" s="26"/>
      <c r="J11" s="26"/>
      <c r="K11" s="27"/>
    </row>
    <row r="12" ht="31.75" customHeight="1" spans="1:11" x14ac:dyDescent="0.25">
      <c r="A12" s="7"/>
      <c r="B12" s="17" t="s">
        <v>25</v>
      </c>
      <c r="C12" s="17"/>
      <c r="D12" s="17"/>
      <c r="E12" s="17"/>
      <c r="F12" s="17" t="s">
        <v>26</v>
      </c>
      <c r="G12" s="17"/>
      <c r="H12" s="17"/>
      <c r="I12" s="17"/>
      <c r="J12" s="17"/>
      <c r="K12" s="17"/>
    </row>
    <row r="13" ht="30" customHeight="1" spans="1:11" x14ac:dyDescent="0.25">
      <c r="A13" s="7"/>
      <c r="B13" s="17" t="s">
        <v>14</v>
      </c>
      <c r="C13" s="17"/>
      <c r="D13" s="17">
        <f>IFERROR(
            IF(
                INDEX(參數!$A:$D, MATCH(C2, 參數!$B:$B, 0), 4) = "員工",
                ROUND(SUM(F6*J6, F7*J7, F8*J8, F9*J9), 0),
                IF(
                    INDEX(參數!$A:$D, MATCH(C2, 參數!$B:$B, 0), 4) = "主管",
                    ROUND(SUM(F6*H6, F7*H7, F8*H8, F9*H9), 0),
                    ""
                )
            ),
            ""
        )</f>
      </c>
      <c r="E13" s="28">
        <f t="array" ref="E13">IF(AND(ISNUMBER($D$13),$D$13&gt;0),
    IFERROR(
        _xlfn.IFS(
            $D$13&gt;=90,"考核:優",
            $D$13&gt;=80,"考核:甲",
            $D$13&gt;=70,"考核:乙",
            $D$13&gt;=60,"考核:丙",
            $D$13&gt;=50,"考核:丁",
            $D$13&gt;=1,"考核:戊"
        ),
        ""
    ),
    ""
)</f>
      </c>
      <c r="F13" s="29"/>
      <c r="G13" s="29"/>
      <c r="H13" s="29"/>
      <c r="I13" s="29"/>
      <c r="J13" s="29"/>
      <c r="K13" s="29"/>
    </row>
    <row r="14" ht="30" customHeight="1" spans="1:11" x14ac:dyDescent="0.25">
      <c r="A14" s="7"/>
      <c r="B14" s="17" t="s">
        <v>15</v>
      </c>
      <c r="C14" s="17"/>
      <c r="D14" s="17">
        <f>IFERROR(
        IF(
            INDEX(參數!$A:$D, MATCH(C2, 參數!$B:$B, 0), 4) = "員工",
            ROUND(SUM(F6*K6, F7*K7, F8*K8, F9*K9), 0),
            IF(
                INDEX(參數!$A:$D, MATCH(C2, 參數!$B:$B, 0), 4) = "主管",
                ROUND(SUM(F6*I6, F7*I7, F8*I8, F9*I9), 0),
                ""
            )
        ),
        ""
    )</f>
      </c>
      <c r="E14" s="28">
        <f t="array" ref="E14">IF(AND(ISNUMBER($D$14),$D$14&gt;0),
    IFERROR(
        _xlfn.IFS(
            $D$14&gt;=90,"績效:優",
            $D$14&gt;=80,"績效:甲",
            $D$14&gt;=70,"績效:乙",
            $D$14&gt;=60,"績效:丙",
            $D$14&gt;=50,"績效:丁",
            $D$14&gt;=1,"績效:戊"
        ),
        ""
    ),
    ""
)</f>
      </c>
      <c r="F14" s="29"/>
      <c r="G14" s="29"/>
      <c r="H14" s="29"/>
      <c r="I14" s="29"/>
      <c r="J14" s="29"/>
      <c r="K14" s="29"/>
    </row>
    <row r="15" ht="19.25" customHeight="1" spans="2:11" s="30" customFormat="1" x14ac:dyDescent="0.25">
      <c r="B15" s="31" t="s">
        <v>27</v>
      </c>
      <c r="C15" s="32"/>
      <c r="D15" s="32"/>
      <c r="E15" s="32"/>
      <c r="F15" s="33"/>
      <c r="G15" s="34"/>
      <c r="H15" s="5"/>
      <c r="I15" s="5"/>
      <c r="J15" s="5"/>
      <c r="K15" s="5"/>
    </row>
    <row r="16" spans="2:11" s="30" customFormat="1" x14ac:dyDescent="0.25">
      <c r="B16" s="31" t="s">
        <v>28</v>
      </c>
      <c r="C16" s="32"/>
      <c r="D16" s="32"/>
      <c r="E16" s="32"/>
      <c r="F16" s="34"/>
      <c r="G16" s="34"/>
      <c r="H16" s="5"/>
      <c r="I16" s="5"/>
      <c r="J16" s="5"/>
      <c r="K16" s="5"/>
    </row>
    <row r="17" spans="2:11" s="30" customFormat="1" x14ac:dyDescent="0.25">
      <c r="B17" s="31" t="s">
        <v>29</v>
      </c>
      <c r="C17" s="32"/>
      <c r="D17" s="32"/>
      <c r="E17" s="32"/>
      <c r="F17" s="34"/>
      <c r="G17" s="34"/>
      <c r="H17" s="5"/>
      <c r="I17" s="5"/>
      <c r="J17" s="5"/>
      <c r="K17" s="5"/>
    </row>
    <row r="18" spans="2:11" s="30" customFormat="1" x14ac:dyDescent="0.25">
      <c r="B18" s="31" t="s">
        <v>30</v>
      </c>
      <c r="C18" s="32"/>
      <c r="D18" s="32"/>
      <c r="E18" s="32"/>
      <c r="F18" s="34"/>
      <c r="G18" s="34"/>
      <c r="H18" s="5"/>
      <c r="I18" s="5"/>
      <c r="J18" s="5"/>
      <c r="K18" s="5"/>
    </row>
    <row r="19" spans="2:11" s="30" customFormat="1" x14ac:dyDescent="0.25">
      <c r="B19" s="31" t="s">
        <v>31</v>
      </c>
      <c r="C19" s="32"/>
      <c r="D19" s="32"/>
      <c r="E19" s="32"/>
      <c r="F19" s="34"/>
      <c r="G19" s="34"/>
      <c r="H19" s="5"/>
      <c r="I19" s="5"/>
      <c r="J19" s="5"/>
      <c r="K19" s="5"/>
    </row>
    <row r="20" spans="2:11" s="30" customFormat="1" x14ac:dyDescent="0.25">
      <c r="B20" s="31" t="s">
        <v>32</v>
      </c>
      <c r="C20" s="32"/>
      <c r="D20" s="32"/>
      <c r="E20" s="32"/>
      <c r="F20" s="34"/>
      <c r="G20" s="34"/>
      <c r="H20" s="5"/>
      <c r="I20" s="5"/>
      <c r="J20" s="5"/>
      <c r="K20" s="5"/>
    </row>
    <row r="21" spans="2:11" s="30" customFormat="1" x14ac:dyDescent="0.25">
      <c r="B21" s="31" t="s">
        <v>33</v>
      </c>
      <c r="C21" s="32"/>
      <c r="D21" s="32"/>
      <c r="E21" s="32"/>
      <c r="F21" s="34"/>
      <c r="G21" s="34"/>
      <c r="H21" s="5"/>
      <c r="I21" s="5"/>
      <c r="J21" s="5"/>
      <c r="K21" s="5"/>
    </row>
    <row r="22" spans="2:11" s="30" customFormat="1" x14ac:dyDescent="0.25">
      <c r="B22" s="31" t="s">
        <v>34</v>
      </c>
      <c r="C22" s="32"/>
      <c r="D22" s="32"/>
      <c r="E22" s="32"/>
      <c r="F22" s="34"/>
      <c r="G22" s="34"/>
      <c r="H22" s="5"/>
      <c r="I22" s="5"/>
      <c r="J22" s="5"/>
      <c r="K22" s="5"/>
    </row>
    <row r="23" spans="2:11" s="30" customFormat="1" x14ac:dyDescent="0.25">
      <c r="B23" s="31"/>
      <c r="C23" s="32"/>
      <c r="D23" s="32"/>
      <c r="E23" s="32"/>
      <c r="F23" s="34"/>
      <c r="G23" s="34"/>
      <c r="H23" s="5"/>
      <c r="I23" s="5"/>
      <c r="J23" s="5"/>
      <c r="K23" s="5"/>
    </row>
    <row r="24" spans="2:2" x14ac:dyDescent="0.25">
      <c r="B24" s="35"/>
    </row>
    <row r="25" spans="2:2" x14ac:dyDescent="0.25">
      <c r="B25" s="35"/>
    </row>
  </sheetData>
  <sheetProtection sheet="1" selectLockedCells="1" algorithmName="SHA-512" hashValue="z6zCyYO+1ixaDZfCcGvGJIQEqJqgx1RWV6GtNq/dvjTgKQ1HEyik1CfUF/1JD+pop7XfvfI3NONZRp9cwo0NeQ==" saltValue="FpK8v4x4U+Vjdl5hOO/uIw==" spinCount="100000"/>
  <mergeCells count="26">
    <mergeCell ref="B1:K1"/>
    <mergeCell ref="C2:E2"/>
    <mergeCell ref="F2:G2"/>
    <mergeCell ref="H2:K2"/>
    <mergeCell ref="C3:K3"/>
    <mergeCell ref="C4:G4"/>
    <mergeCell ref="H4:I4"/>
    <mergeCell ref="J4:K4"/>
    <mergeCell ref="C5:E5"/>
    <mergeCell ref="F5:G5"/>
    <mergeCell ref="C6:E6"/>
    <mergeCell ref="F6:G6"/>
    <mergeCell ref="C7:E7"/>
    <mergeCell ref="F7:G7"/>
    <mergeCell ref="C8:E8"/>
    <mergeCell ref="F8:G8"/>
    <mergeCell ref="C9:E9"/>
    <mergeCell ref="F9:G9"/>
    <mergeCell ref="B10:G10"/>
    <mergeCell ref="B11:K11"/>
    <mergeCell ref="B12:E12"/>
    <mergeCell ref="F12:K12"/>
    <mergeCell ref="B13:C13"/>
    <mergeCell ref="F13:K13"/>
    <mergeCell ref="B14:C14"/>
    <mergeCell ref="F14:K14"/>
  </mergeCells>
  <dataValidations count="2">
    <dataValidation type="whole" allowBlank="1" showInputMessage="1" prompt="請輸入0-100之間" showErrorMessage="1" error="請輸入0-100之間" sqref="F6">
      <formula1>0</formula1>
      <formula2>100</formula2>
    </dataValidation>
    <dataValidation type="whole" allowBlank="1" showInputMessage="1" showErrorMessage="1" error="請輸入0-100之間" sqref="F7:F9">
      <formula1>0</formula1>
      <formula2>100</formula2>
    </dataValidation>
  </dataValidations>
  <printOptions horizontalCentered="1"/>
  <pageMargins left="0.03937007874015748" right="0.03937007874015748" top="0.5511811023622047" bottom="0.7480314960629921" header="0.31496062992125984" footer="0.31496062992125984"/>
  <pageSetup paperSize="9" orientation="portrait" horizontalDpi="2147483648" verticalDpi="2147483648" scale="100" fitToWidth="1" fitToHeight="1" firstPageNumber="1" useFirstPageNumber="1" copies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5"/>
  <sheetViews>
    <sheetView workbookViewId="0" zoomScale="100" zoomScaleNormal="100">
      <selection activeCell="C3" sqref="C3"/>
    </sheetView>
  </sheetViews>
  <sheetFormatPr defaultRowHeight="15" outlineLevelRow="0" outlineLevelCol="0" x14ac:dyDescent="0" defaultColWidth="11.19921875"/>
  <cols>
    <col min="1" max="1" width="0.09765625" style="1" hidden="1" customWidth="1"/>
    <col min="2" max="2" width="16.69921875" style="2" customWidth="1"/>
    <col min="3" max="3" width="18.59765625" style="2" customWidth="1"/>
    <col min="4" max="4" width="5.5" style="2" hidden="1" customWidth="1"/>
    <col min="5" max="5" width="32" style="3" customWidth="1"/>
    <col min="6" max="6" width="4.69921875" style="4" customWidth="1"/>
    <col min="7" max="7" width="7.59765625" style="4" customWidth="1"/>
    <col min="8" max="10" width="6.59765625" style="5" customWidth="1"/>
    <col min="11" max="11" width="7.09765625" style="5" customWidth="1"/>
    <col min="12" max="16384" width="11.19921875" style="1" customWidth="1"/>
  </cols>
  <sheetData>
    <row r="1" ht="36.65" customHeight="1" spans="1:11" s="6" customFormat="1" x14ac:dyDescent="0.25">
      <c r="A1" s="7"/>
      <c r="B1" s="8" t="s">
        <v>0</v>
      </c>
      <c r="C1" s="9"/>
      <c r="D1" s="9"/>
      <c r="E1" s="9"/>
      <c r="F1" s="9"/>
      <c r="G1" s="9"/>
      <c r="H1" s="9"/>
      <c r="I1" s="9"/>
      <c r="J1" s="9"/>
      <c r="K1" s="10"/>
    </row>
    <row r="2" ht="35.25" customHeight="1" spans="1:11" x14ac:dyDescent="0.25">
      <c r="A2" s="7"/>
      <c r="B2" s="11" t="s">
        <v>1</v>
      </c>
      <c r="C2" s="11" t="s">
        <v>46</v>
      </c>
      <c r="D2" s="11"/>
      <c r="E2" s="11"/>
      <c r="F2" s="11" t="s">
        <v>3</v>
      </c>
      <c r="G2" s="11"/>
      <c r="H2" s="11" t="s">
        <v>41</v>
      </c>
      <c r="I2" s="11"/>
      <c r="J2" s="11"/>
      <c r="K2" s="11"/>
    </row>
    <row r="3" ht="58.9" customHeight="1" spans="1:11" x14ac:dyDescent="0.25">
      <c r="A3" s="7"/>
      <c r="B3" s="12" t="s">
        <v>5</v>
      </c>
      <c r="C3" s="13" t="s">
        <v>47</v>
      </c>
      <c r="D3" s="14"/>
      <c r="E3" s="14"/>
      <c r="F3" s="14"/>
      <c r="G3" s="14"/>
      <c r="H3" s="14"/>
      <c r="I3" s="14"/>
      <c r="J3" s="14"/>
      <c r="K3" s="15"/>
    </row>
    <row r="4" ht="35.25" customHeight="1" spans="1:11" x14ac:dyDescent="0.25">
      <c r="A4" s="7"/>
      <c r="B4" s="12" t="s">
        <v>7</v>
      </c>
      <c r="C4" s="12" t="s">
        <v>8</v>
      </c>
      <c r="D4" s="12"/>
      <c r="E4" s="12"/>
      <c r="F4" s="12"/>
      <c r="G4" s="12"/>
      <c r="H4" s="16" t="s">
        <v>9</v>
      </c>
      <c r="I4" s="16"/>
      <c r="J4" s="16" t="s">
        <v>10</v>
      </c>
      <c r="K4" s="16"/>
    </row>
    <row r="5" ht="30" customHeight="1" spans="1:11" x14ac:dyDescent="0.25">
      <c r="A5" s="7"/>
      <c r="B5" s="11" t="s">
        <v>11</v>
      </c>
      <c r="C5" s="17" t="s">
        <v>12</v>
      </c>
      <c r="D5" s="17"/>
      <c r="E5" s="17"/>
      <c r="F5" s="17" t="s">
        <v>13</v>
      </c>
      <c r="G5" s="17"/>
      <c r="H5" s="16" t="s">
        <v>14</v>
      </c>
      <c r="I5" s="16" t="s">
        <v>15</v>
      </c>
      <c r="J5" s="16" t="s">
        <v>14</v>
      </c>
      <c r="K5" s="16" t="s">
        <v>15</v>
      </c>
    </row>
    <row r="6" ht="64.5" customHeight="1" spans="1:11" x14ac:dyDescent="0.25">
      <c r="A6" s="7"/>
      <c r="B6" s="11" t="s">
        <v>16</v>
      </c>
      <c r="C6" s="18" t="s">
        <v>17</v>
      </c>
      <c r="D6" s="18"/>
      <c r="E6" s="18"/>
      <c r="F6" s="19"/>
      <c r="G6" s="19"/>
      <c r="H6" s="20">
        <v>0.3</v>
      </c>
      <c r="I6" s="20">
        <v>0.2</v>
      </c>
      <c r="J6" s="20">
        <v>0.3</v>
      </c>
      <c r="K6" s="20">
        <v>0.25</v>
      </c>
    </row>
    <row r="7" ht="81.15" customHeight="1" spans="1:11" x14ac:dyDescent="0.25">
      <c r="A7" s="7"/>
      <c r="B7" s="11" t="s">
        <v>18</v>
      </c>
      <c r="C7" s="18" t="s">
        <v>19</v>
      </c>
      <c r="D7" s="18"/>
      <c r="E7" s="18"/>
      <c r="F7" s="19"/>
      <c r="G7" s="19"/>
      <c r="H7" s="20">
        <v>0.3</v>
      </c>
      <c r="I7" s="20">
        <v>0.2</v>
      </c>
      <c r="J7" s="20">
        <v>0.4</v>
      </c>
      <c r="K7" s="20">
        <v>0.25</v>
      </c>
    </row>
    <row r="8" ht="53.4" customHeight="1" spans="1:11" x14ac:dyDescent="0.25">
      <c r="A8" s="7"/>
      <c r="B8" s="11" t="s">
        <v>20</v>
      </c>
      <c r="C8" s="21" t="s">
        <v>21</v>
      </c>
      <c r="D8" s="22"/>
      <c r="E8" s="18"/>
      <c r="F8" s="19"/>
      <c r="G8" s="19"/>
      <c r="H8" s="20">
        <v>0.1</v>
      </c>
      <c r="I8" s="20">
        <v>0.1</v>
      </c>
      <c r="J8" s="20">
        <v>0</v>
      </c>
      <c r="K8" s="20">
        <v>0</v>
      </c>
    </row>
    <row r="9" ht="40.25" customHeight="1" spans="1:11" x14ac:dyDescent="0.25">
      <c r="A9" s="7"/>
      <c r="B9" s="11" t="s">
        <v>22</v>
      </c>
      <c r="C9" s="18" t="s">
        <v>23</v>
      </c>
      <c r="D9" s="18"/>
      <c r="E9" s="18"/>
      <c r="F9" s="19"/>
      <c r="G9" s="19"/>
      <c r="H9" s="20">
        <v>0.3</v>
      </c>
      <c r="I9" s="20">
        <v>0.5</v>
      </c>
      <c r="J9" s="20">
        <v>0.3</v>
      </c>
      <c r="K9" s="20">
        <v>0.5</v>
      </c>
    </row>
    <row r="10" ht="50.4" customHeight="1" spans="1:11" x14ac:dyDescent="0.25">
      <c r="A10" s="7"/>
      <c r="B10" s="23" t="s">
        <v>24</v>
      </c>
      <c r="C10" s="23"/>
      <c r="D10" s="23"/>
      <c r="E10" s="24"/>
      <c r="F10" s="24"/>
      <c r="G10" s="24"/>
      <c r="H10" s="20">
        <f>SUM(H6:H9)</f>
      </c>
      <c r="I10" s="20">
        <f>SUM(I6:I9)</f>
      </c>
      <c r="J10" s="20">
        <f>SUM(J6:J9)</f>
      </c>
      <c r="K10" s="20">
        <f>SUM(K6:K9)</f>
      </c>
    </row>
    <row r="11" ht="43.25" customHeight="1" spans="1:11" x14ac:dyDescent="0.25">
      <c r="A11" s="7"/>
      <c r="B11" s="25"/>
      <c r="C11" s="26"/>
      <c r="D11" s="26"/>
      <c r="E11" s="26"/>
      <c r="F11" s="26"/>
      <c r="G11" s="26"/>
      <c r="H11" s="26"/>
      <c r="I11" s="26"/>
      <c r="J11" s="26"/>
      <c r="K11" s="27"/>
    </row>
    <row r="12" ht="31.75" customHeight="1" spans="1:11" x14ac:dyDescent="0.25">
      <c r="A12" s="7"/>
      <c r="B12" s="17" t="s">
        <v>25</v>
      </c>
      <c r="C12" s="17"/>
      <c r="D12" s="17"/>
      <c r="E12" s="17"/>
      <c r="F12" s="17" t="s">
        <v>26</v>
      </c>
      <c r="G12" s="17"/>
      <c r="H12" s="17"/>
      <c r="I12" s="17"/>
      <c r="J12" s="17"/>
      <c r="K12" s="17"/>
    </row>
    <row r="13" ht="30" customHeight="1" spans="1:11" x14ac:dyDescent="0.25">
      <c r="A13" s="7"/>
      <c r="B13" s="17" t="s">
        <v>14</v>
      </c>
      <c r="C13" s="17"/>
      <c r="D13" s="17">
        <f>IFERROR(
            IF(
                INDEX(參數!$A:$D, MATCH(C2, 參數!$B:$B, 0), 4) = "員工",
                ROUND(SUM(F6*J6, F7*J7, F8*J8, F9*J9), 0),
                IF(
                    INDEX(參數!$A:$D, MATCH(C2, 參數!$B:$B, 0), 4) = "主管",
                    ROUND(SUM(F6*H6, F7*H7, F8*H8, F9*H9), 0),
                    ""
                )
            ),
            ""
        )</f>
      </c>
      <c r="E13" s="28">
        <f t="array" ref="E13">IF(AND(ISNUMBER($D$13),$D$13&gt;0),
    IFERROR(
        _xlfn.IFS(
            $D$13&gt;=90,"考核:優",
            $D$13&gt;=80,"考核:甲",
            $D$13&gt;=70,"考核:乙",
            $D$13&gt;=60,"考核:丙",
            $D$13&gt;=50,"考核:丁",
            $D$13&gt;=1,"考核:戊"
        ),
        ""
    ),
    ""
)</f>
      </c>
      <c r="F13" s="29"/>
      <c r="G13" s="29"/>
      <c r="H13" s="29"/>
      <c r="I13" s="29"/>
      <c r="J13" s="29"/>
      <c r="K13" s="29"/>
    </row>
    <row r="14" ht="30" customHeight="1" spans="1:11" x14ac:dyDescent="0.25">
      <c r="A14" s="7"/>
      <c r="B14" s="17" t="s">
        <v>15</v>
      </c>
      <c r="C14" s="17"/>
      <c r="D14" s="17">
        <f>IFERROR(
        IF(
            INDEX(參數!$A:$D, MATCH(C2, 參數!$B:$B, 0), 4) = "員工",
            ROUND(SUM(F6*K6, F7*K7, F8*K8, F9*K9), 0),
            IF(
                INDEX(參數!$A:$D, MATCH(C2, 參數!$B:$B, 0), 4) = "主管",
                ROUND(SUM(F6*I6, F7*I7, F8*I8, F9*I9), 0),
                ""
            )
        ),
        ""
    )</f>
      </c>
      <c r="E14" s="28">
        <f t="array" ref="E14">IF(AND(ISNUMBER($D$14),$D$14&gt;0),
    IFERROR(
        _xlfn.IFS(
            $D$14&gt;=90,"績效:優",
            $D$14&gt;=80,"績效:甲",
            $D$14&gt;=70,"績效:乙",
            $D$14&gt;=60,"績效:丙",
            $D$14&gt;=50,"績效:丁",
            $D$14&gt;=1,"績效:戊"
        ),
        ""
    ),
    ""
)</f>
      </c>
      <c r="F14" s="29"/>
      <c r="G14" s="29"/>
      <c r="H14" s="29"/>
      <c r="I14" s="29"/>
      <c r="J14" s="29"/>
      <c r="K14" s="29"/>
    </row>
    <row r="15" ht="19.25" customHeight="1" spans="2:11" s="30" customFormat="1" x14ac:dyDescent="0.25">
      <c r="B15" s="31" t="s">
        <v>27</v>
      </c>
      <c r="C15" s="32"/>
      <c r="D15" s="32"/>
      <c r="E15" s="32"/>
      <c r="F15" s="33"/>
      <c r="G15" s="34"/>
      <c r="H15" s="5"/>
      <c r="I15" s="5"/>
      <c r="J15" s="5"/>
      <c r="K15" s="5"/>
    </row>
    <row r="16" spans="2:11" s="30" customFormat="1" x14ac:dyDescent="0.25">
      <c r="B16" s="31" t="s">
        <v>28</v>
      </c>
      <c r="C16" s="32"/>
      <c r="D16" s="32"/>
      <c r="E16" s="32"/>
      <c r="F16" s="34"/>
      <c r="G16" s="34"/>
      <c r="H16" s="5"/>
      <c r="I16" s="5"/>
      <c r="J16" s="5"/>
      <c r="K16" s="5"/>
    </row>
    <row r="17" spans="2:11" s="30" customFormat="1" x14ac:dyDescent="0.25">
      <c r="B17" s="31" t="s">
        <v>29</v>
      </c>
      <c r="C17" s="32"/>
      <c r="D17" s="32"/>
      <c r="E17" s="32"/>
      <c r="F17" s="34"/>
      <c r="G17" s="34"/>
      <c r="H17" s="5"/>
      <c r="I17" s="5"/>
      <c r="J17" s="5"/>
      <c r="K17" s="5"/>
    </row>
    <row r="18" spans="2:11" s="30" customFormat="1" x14ac:dyDescent="0.25">
      <c r="B18" s="31" t="s">
        <v>30</v>
      </c>
      <c r="C18" s="32"/>
      <c r="D18" s="32"/>
      <c r="E18" s="32"/>
      <c r="F18" s="34"/>
      <c r="G18" s="34"/>
      <c r="H18" s="5"/>
      <c r="I18" s="5"/>
      <c r="J18" s="5"/>
      <c r="K18" s="5"/>
    </row>
    <row r="19" spans="2:11" s="30" customFormat="1" x14ac:dyDescent="0.25">
      <c r="B19" s="31" t="s">
        <v>31</v>
      </c>
      <c r="C19" s="32"/>
      <c r="D19" s="32"/>
      <c r="E19" s="32"/>
      <c r="F19" s="34"/>
      <c r="G19" s="34"/>
      <c r="H19" s="5"/>
      <c r="I19" s="5"/>
      <c r="J19" s="5"/>
      <c r="K19" s="5"/>
    </row>
    <row r="20" spans="2:11" s="30" customFormat="1" x14ac:dyDescent="0.25">
      <c r="B20" s="31" t="s">
        <v>32</v>
      </c>
      <c r="C20" s="32"/>
      <c r="D20" s="32"/>
      <c r="E20" s="32"/>
      <c r="F20" s="34"/>
      <c r="G20" s="34"/>
      <c r="H20" s="5"/>
      <c r="I20" s="5"/>
      <c r="J20" s="5"/>
      <c r="K20" s="5"/>
    </row>
    <row r="21" spans="2:11" s="30" customFormat="1" x14ac:dyDescent="0.25">
      <c r="B21" s="31" t="s">
        <v>33</v>
      </c>
      <c r="C21" s="32"/>
      <c r="D21" s="32"/>
      <c r="E21" s="32"/>
      <c r="F21" s="34"/>
      <c r="G21" s="34"/>
      <c r="H21" s="5"/>
      <c r="I21" s="5"/>
      <c r="J21" s="5"/>
      <c r="K21" s="5"/>
    </row>
    <row r="22" spans="2:11" s="30" customFormat="1" x14ac:dyDescent="0.25">
      <c r="B22" s="31" t="s">
        <v>34</v>
      </c>
      <c r="C22" s="32"/>
      <c r="D22" s="32"/>
      <c r="E22" s="32"/>
      <c r="F22" s="34"/>
      <c r="G22" s="34"/>
      <c r="H22" s="5"/>
      <c r="I22" s="5"/>
      <c r="J22" s="5"/>
      <c r="K22" s="5"/>
    </row>
    <row r="23" spans="2:11" s="30" customFormat="1" x14ac:dyDescent="0.25">
      <c r="B23" s="31"/>
      <c r="C23" s="32"/>
      <c r="D23" s="32"/>
      <c r="E23" s="32"/>
      <c r="F23" s="34"/>
      <c r="G23" s="34"/>
      <c r="H23" s="5"/>
      <c r="I23" s="5"/>
      <c r="J23" s="5"/>
      <c r="K23" s="5"/>
    </row>
    <row r="24" spans="2:2" x14ac:dyDescent="0.25">
      <c r="B24" s="35"/>
    </row>
    <row r="25" spans="2:2" x14ac:dyDescent="0.25">
      <c r="B25" s="35"/>
    </row>
  </sheetData>
  <sheetProtection sheet="1" selectLockedCells="1" algorithmName="SHA-512" hashValue="z6zCyYO+1ixaDZfCcGvGJIQEqJqgx1RWV6GtNq/dvjTgKQ1HEyik1CfUF/1JD+pop7XfvfI3NONZRp9cwo0NeQ==" saltValue="FpK8v4x4U+Vjdl5hOO/uIw==" spinCount="100000"/>
  <mergeCells count="26">
    <mergeCell ref="B1:K1"/>
    <mergeCell ref="C2:E2"/>
    <mergeCell ref="F2:G2"/>
    <mergeCell ref="H2:K2"/>
    <mergeCell ref="C3:K3"/>
    <mergeCell ref="C4:G4"/>
    <mergeCell ref="H4:I4"/>
    <mergeCell ref="J4:K4"/>
    <mergeCell ref="C5:E5"/>
    <mergeCell ref="F5:G5"/>
    <mergeCell ref="C6:E6"/>
    <mergeCell ref="F6:G6"/>
    <mergeCell ref="C7:E7"/>
    <mergeCell ref="F7:G7"/>
    <mergeCell ref="C8:E8"/>
    <mergeCell ref="F8:G8"/>
    <mergeCell ref="C9:E9"/>
    <mergeCell ref="F9:G9"/>
    <mergeCell ref="B10:G10"/>
    <mergeCell ref="B11:K11"/>
    <mergeCell ref="B12:E12"/>
    <mergeCell ref="F12:K12"/>
    <mergeCell ref="B13:C13"/>
    <mergeCell ref="F13:K13"/>
    <mergeCell ref="B14:C14"/>
    <mergeCell ref="F14:K14"/>
  </mergeCells>
  <dataValidations count="2">
    <dataValidation type="whole" allowBlank="1" showInputMessage="1" prompt="請輸入0-100之間" showErrorMessage="1" error="請輸入0-100之間" sqref="F6">
      <formula1>0</formula1>
      <formula2>100</formula2>
    </dataValidation>
    <dataValidation type="whole" allowBlank="1" showInputMessage="1" showErrorMessage="1" error="請輸入0-100之間" sqref="F7:F9">
      <formula1>0</formula1>
      <formula2>100</formula2>
    </dataValidation>
  </dataValidations>
  <printOptions horizontalCentered="1"/>
  <pageMargins left="0.03937007874015748" right="0.03937007874015748" top="0.5511811023622047" bottom="0.7480314960629921" header="0.31496062992125984" footer="0.31496062992125984"/>
  <pageSetup paperSize="9" orientation="portrait" horizontalDpi="2147483648" verticalDpi="2147483648" scale="100" fitToWidth="1" fitToHeight="1" firstPageNumber="1" useFirstPageNumber="1" copies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5"/>
  <sheetViews>
    <sheetView workbookViewId="0" zoomScale="100" zoomScaleNormal="100">
      <selection activeCell="C3" sqref="C3"/>
    </sheetView>
  </sheetViews>
  <sheetFormatPr defaultRowHeight="15" outlineLevelRow="0" outlineLevelCol="0" x14ac:dyDescent="0" defaultColWidth="11.19921875"/>
  <cols>
    <col min="1" max="1" width="0.09765625" style="1" hidden="1" customWidth="1"/>
    <col min="2" max="2" width="16.69921875" style="2" customWidth="1"/>
    <col min="3" max="3" width="18.59765625" style="2" customWidth="1"/>
    <col min="4" max="4" width="5.5" style="2" hidden="1" customWidth="1"/>
    <col min="5" max="5" width="32" style="3" customWidth="1"/>
    <col min="6" max="6" width="4.69921875" style="4" customWidth="1"/>
    <col min="7" max="7" width="7.59765625" style="4" customWidth="1"/>
    <col min="8" max="10" width="6.59765625" style="5" customWidth="1"/>
    <col min="11" max="11" width="7.09765625" style="5" customWidth="1"/>
    <col min="12" max="16384" width="11.19921875" style="1" customWidth="1"/>
  </cols>
  <sheetData>
    <row r="1" ht="36.65" customHeight="1" spans="1:11" s="6" customFormat="1" x14ac:dyDescent="0.25">
      <c r="A1" s="7"/>
      <c r="B1" s="8" t="s">
        <v>0</v>
      </c>
      <c r="C1" s="9"/>
      <c r="D1" s="9"/>
      <c r="E1" s="9"/>
      <c r="F1" s="9"/>
      <c r="G1" s="9"/>
      <c r="H1" s="9"/>
      <c r="I1" s="9"/>
      <c r="J1" s="9"/>
      <c r="K1" s="10"/>
    </row>
    <row r="2" ht="35.25" customHeight="1" spans="1:11" x14ac:dyDescent="0.25">
      <c r="A2" s="7"/>
      <c r="B2" s="11" t="s">
        <v>1</v>
      </c>
      <c r="C2" s="11" t="s">
        <v>48</v>
      </c>
      <c r="D2" s="11"/>
      <c r="E2" s="11"/>
      <c r="F2" s="11" t="s">
        <v>3</v>
      </c>
      <c r="G2" s="11"/>
      <c r="H2" s="11" t="s">
        <v>49</v>
      </c>
      <c r="I2" s="11"/>
      <c r="J2" s="11"/>
      <c r="K2" s="11"/>
    </row>
    <row r="3" ht="58.9" customHeight="1" spans="1:11" x14ac:dyDescent="0.25">
      <c r="A3" s="7"/>
      <c r="B3" s="12" t="s">
        <v>5</v>
      </c>
      <c r="C3" s="13" t="s">
        <v>50</v>
      </c>
      <c r="D3" s="14"/>
      <c r="E3" s="14"/>
      <c r="F3" s="14"/>
      <c r="G3" s="14"/>
      <c r="H3" s="14"/>
      <c r="I3" s="14"/>
      <c r="J3" s="14"/>
      <c r="K3" s="15"/>
    </row>
    <row r="4" ht="35.25" customHeight="1" spans="1:11" x14ac:dyDescent="0.25">
      <c r="A4" s="7"/>
      <c r="B4" s="12" t="s">
        <v>7</v>
      </c>
      <c r="C4" s="12" t="s">
        <v>8</v>
      </c>
      <c r="D4" s="12"/>
      <c r="E4" s="12"/>
      <c r="F4" s="12"/>
      <c r="G4" s="12"/>
      <c r="H4" s="16" t="s">
        <v>9</v>
      </c>
      <c r="I4" s="16"/>
      <c r="J4" s="16" t="s">
        <v>10</v>
      </c>
      <c r="K4" s="16"/>
    </row>
    <row r="5" ht="30" customHeight="1" spans="1:11" x14ac:dyDescent="0.25">
      <c r="A5" s="7"/>
      <c r="B5" s="11" t="s">
        <v>11</v>
      </c>
      <c r="C5" s="17" t="s">
        <v>12</v>
      </c>
      <c r="D5" s="17"/>
      <c r="E5" s="17"/>
      <c r="F5" s="17" t="s">
        <v>13</v>
      </c>
      <c r="G5" s="17"/>
      <c r="H5" s="16" t="s">
        <v>14</v>
      </c>
      <c r="I5" s="16" t="s">
        <v>15</v>
      </c>
      <c r="J5" s="16" t="s">
        <v>14</v>
      </c>
      <c r="K5" s="16" t="s">
        <v>15</v>
      </c>
    </row>
    <row r="6" ht="64.5" customHeight="1" spans="1:11" x14ac:dyDescent="0.25">
      <c r="A6" s="7"/>
      <c r="B6" s="11" t="s">
        <v>16</v>
      </c>
      <c r="C6" s="18" t="s">
        <v>17</v>
      </c>
      <c r="D6" s="18"/>
      <c r="E6" s="18"/>
      <c r="F6" s="19"/>
      <c r="G6" s="19"/>
      <c r="H6" s="20">
        <v>0.3</v>
      </c>
      <c r="I6" s="20">
        <v>0.2</v>
      </c>
      <c r="J6" s="20">
        <v>0.3</v>
      </c>
      <c r="K6" s="20">
        <v>0.25</v>
      </c>
    </row>
    <row r="7" ht="81.15" customHeight="1" spans="1:11" x14ac:dyDescent="0.25">
      <c r="A7" s="7"/>
      <c r="B7" s="11" t="s">
        <v>18</v>
      </c>
      <c r="C7" s="18" t="s">
        <v>19</v>
      </c>
      <c r="D7" s="18"/>
      <c r="E7" s="18"/>
      <c r="F7" s="19"/>
      <c r="G7" s="19"/>
      <c r="H7" s="20">
        <v>0.3</v>
      </c>
      <c r="I7" s="20">
        <v>0.2</v>
      </c>
      <c r="J7" s="20">
        <v>0.4</v>
      </c>
      <c r="K7" s="20">
        <v>0.25</v>
      </c>
    </row>
    <row r="8" ht="53.4" customHeight="1" spans="1:11" x14ac:dyDescent="0.25">
      <c r="A8" s="7"/>
      <c r="B8" s="11" t="s">
        <v>20</v>
      </c>
      <c r="C8" s="21" t="s">
        <v>21</v>
      </c>
      <c r="D8" s="22"/>
      <c r="E8" s="18"/>
      <c r="F8" s="19"/>
      <c r="G8" s="19"/>
      <c r="H8" s="20">
        <v>0.1</v>
      </c>
      <c r="I8" s="20">
        <v>0.1</v>
      </c>
      <c r="J8" s="20">
        <v>0</v>
      </c>
      <c r="K8" s="20">
        <v>0</v>
      </c>
    </row>
    <row r="9" ht="40.25" customHeight="1" spans="1:11" x14ac:dyDescent="0.25">
      <c r="A9" s="7"/>
      <c r="B9" s="11" t="s">
        <v>22</v>
      </c>
      <c r="C9" s="18" t="s">
        <v>23</v>
      </c>
      <c r="D9" s="18"/>
      <c r="E9" s="18"/>
      <c r="F9" s="19"/>
      <c r="G9" s="19"/>
      <c r="H9" s="20">
        <v>0.3</v>
      </c>
      <c r="I9" s="20">
        <v>0.5</v>
      </c>
      <c r="J9" s="20">
        <v>0.3</v>
      </c>
      <c r="K9" s="20">
        <v>0.5</v>
      </c>
    </row>
    <row r="10" ht="50.4" customHeight="1" spans="1:11" x14ac:dyDescent="0.25">
      <c r="A10" s="7"/>
      <c r="B10" s="23" t="s">
        <v>24</v>
      </c>
      <c r="C10" s="23"/>
      <c r="D10" s="23"/>
      <c r="E10" s="24"/>
      <c r="F10" s="24"/>
      <c r="G10" s="24"/>
      <c r="H10" s="20">
        <f>SUM(H6:H9)</f>
      </c>
      <c r="I10" s="20">
        <f>SUM(I6:I9)</f>
      </c>
      <c r="J10" s="20">
        <f>SUM(J6:J9)</f>
      </c>
      <c r="K10" s="20">
        <f>SUM(K6:K9)</f>
      </c>
    </row>
    <row r="11" ht="43.25" customHeight="1" spans="1:11" x14ac:dyDescent="0.25">
      <c r="A11" s="7"/>
      <c r="B11" s="25"/>
      <c r="C11" s="26"/>
      <c r="D11" s="26"/>
      <c r="E11" s="26"/>
      <c r="F11" s="26"/>
      <c r="G11" s="26"/>
      <c r="H11" s="26"/>
      <c r="I11" s="26"/>
      <c r="J11" s="26"/>
      <c r="K11" s="27"/>
    </row>
    <row r="12" ht="31.75" customHeight="1" spans="1:11" x14ac:dyDescent="0.25">
      <c r="A12" s="7"/>
      <c r="B12" s="17" t="s">
        <v>25</v>
      </c>
      <c r="C12" s="17"/>
      <c r="D12" s="17"/>
      <c r="E12" s="17"/>
      <c r="F12" s="17" t="s">
        <v>26</v>
      </c>
      <c r="G12" s="17"/>
      <c r="H12" s="17"/>
      <c r="I12" s="17"/>
      <c r="J12" s="17"/>
      <c r="K12" s="17"/>
    </row>
    <row r="13" ht="30" customHeight="1" spans="1:11" x14ac:dyDescent="0.25">
      <c r="A13" s="7"/>
      <c r="B13" s="17" t="s">
        <v>14</v>
      </c>
      <c r="C13" s="17"/>
      <c r="D13" s="17">
        <f>IFERROR(
            IF(
                INDEX(參數!$A:$D, MATCH(C2, 參數!$B:$B, 0), 4) = "員工",
                ROUND(SUM(F6*J6, F7*J7, F8*J8, F9*J9), 0),
                IF(
                    INDEX(參數!$A:$D, MATCH(C2, 參數!$B:$B, 0), 4) = "主管",
                    ROUND(SUM(F6*H6, F7*H7, F8*H8, F9*H9), 0),
                    ""
                )
            ),
            ""
        )</f>
      </c>
      <c r="E13" s="28">
        <f t="array" ref="E13">IF(AND(ISNUMBER($D$13),$D$13&gt;0),
    IFERROR(
        _xlfn.IFS(
            $D$13&gt;=90,"考核:優",
            $D$13&gt;=80,"考核:甲",
            $D$13&gt;=70,"考核:乙",
            $D$13&gt;=60,"考核:丙",
            $D$13&gt;=50,"考核:丁",
            $D$13&gt;=1,"考核:戊"
        ),
        ""
    ),
    ""
)</f>
      </c>
      <c r="F13" s="29"/>
      <c r="G13" s="29"/>
      <c r="H13" s="29"/>
      <c r="I13" s="29"/>
      <c r="J13" s="29"/>
      <c r="K13" s="29"/>
    </row>
    <row r="14" ht="30" customHeight="1" spans="1:11" x14ac:dyDescent="0.25">
      <c r="A14" s="7"/>
      <c r="B14" s="17" t="s">
        <v>15</v>
      </c>
      <c r="C14" s="17"/>
      <c r="D14" s="17">
        <f>IFERROR(
        IF(
            INDEX(參數!$A:$D, MATCH(C2, 參數!$B:$B, 0), 4) = "員工",
            ROUND(SUM(F6*K6, F7*K7, F8*K8, F9*K9), 0),
            IF(
                INDEX(參數!$A:$D, MATCH(C2, 參數!$B:$B, 0), 4) = "主管",
                ROUND(SUM(F6*I6, F7*I7, F8*I8, F9*I9), 0),
                ""
            )
        ),
        ""
    )</f>
      </c>
      <c r="E14" s="28">
        <f t="array" ref="E14">IF(AND(ISNUMBER($D$14),$D$14&gt;0),
    IFERROR(
        _xlfn.IFS(
            $D$14&gt;=90,"績效:優",
            $D$14&gt;=80,"績效:甲",
            $D$14&gt;=70,"績效:乙",
            $D$14&gt;=60,"績效:丙",
            $D$14&gt;=50,"績效:丁",
            $D$14&gt;=1,"績效:戊"
        ),
        ""
    ),
    ""
)</f>
      </c>
      <c r="F14" s="29"/>
      <c r="G14" s="29"/>
      <c r="H14" s="29"/>
      <c r="I14" s="29"/>
      <c r="J14" s="29"/>
      <c r="K14" s="29"/>
    </row>
    <row r="15" ht="19.25" customHeight="1" spans="2:11" s="30" customFormat="1" x14ac:dyDescent="0.25">
      <c r="B15" s="31" t="s">
        <v>27</v>
      </c>
      <c r="C15" s="32"/>
      <c r="D15" s="32"/>
      <c r="E15" s="32"/>
      <c r="F15" s="33"/>
      <c r="G15" s="34"/>
      <c r="H15" s="5"/>
      <c r="I15" s="5"/>
      <c r="J15" s="5"/>
      <c r="K15" s="5"/>
    </row>
    <row r="16" spans="2:11" s="30" customFormat="1" x14ac:dyDescent="0.25">
      <c r="B16" s="31" t="s">
        <v>28</v>
      </c>
      <c r="C16" s="32"/>
      <c r="D16" s="32"/>
      <c r="E16" s="32"/>
      <c r="F16" s="34"/>
      <c r="G16" s="34"/>
      <c r="H16" s="5"/>
      <c r="I16" s="5"/>
      <c r="J16" s="5"/>
      <c r="K16" s="5"/>
    </row>
    <row r="17" spans="2:11" s="30" customFormat="1" x14ac:dyDescent="0.25">
      <c r="B17" s="31" t="s">
        <v>29</v>
      </c>
      <c r="C17" s="32"/>
      <c r="D17" s="32"/>
      <c r="E17" s="32"/>
      <c r="F17" s="34"/>
      <c r="G17" s="34"/>
      <c r="H17" s="5"/>
      <c r="I17" s="5"/>
      <c r="J17" s="5"/>
      <c r="K17" s="5"/>
    </row>
    <row r="18" spans="2:11" s="30" customFormat="1" x14ac:dyDescent="0.25">
      <c r="B18" s="31" t="s">
        <v>30</v>
      </c>
      <c r="C18" s="32"/>
      <c r="D18" s="32"/>
      <c r="E18" s="32"/>
      <c r="F18" s="34"/>
      <c r="G18" s="34"/>
      <c r="H18" s="5"/>
      <c r="I18" s="5"/>
      <c r="J18" s="5"/>
      <c r="K18" s="5"/>
    </row>
    <row r="19" spans="2:11" s="30" customFormat="1" x14ac:dyDescent="0.25">
      <c r="B19" s="31" t="s">
        <v>31</v>
      </c>
      <c r="C19" s="32"/>
      <c r="D19" s="32"/>
      <c r="E19" s="32"/>
      <c r="F19" s="34"/>
      <c r="G19" s="34"/>
      <c r="H19" s="5"/>
      <c r="I19" s="5"/>
      <c r="J19" s="5"/>
      <c r="K19" s="5"/>
    </row>
    <row r="20" spans="2:11" s="30" customFormat="1" x14ac:dyDescent="0.25">
      <c r="B20" s="31" t="s">
        <v>32</v>
      </c>
      <c r="C20" s="32"/>
      <c r="D20" s="32"/>
      <c r="E20" s="32"/>
      <c r="F20" s="34"/>
      <c r="G20" s="34"/>
      <c r="H20" s="5"/>
      <c r="I20" s="5"/>
      <c r="J20" s="5"/>
      <c r="K20" s="5"/>
    </row>
    <row r="21" spans="2:11" s="30" customFormat="1" x14ac:dyDescent="0.25">
      <c r="B21" s="31" t="s">
        <v>33</v>
      </c>
      <c r="C21" s="32"/>
      <c r="D21" s="32"/>
      <c r="E21" s="32"/>
      <c r="F21" s="34"/>
      <c r="G21" s="34"/>
      <c r="H21" s="5"/>
      <c r="I21" s="5"/>
      <c r="J21" s="5"/>
      <c r="K21" s="5"/>
    </row>
    <row r="22" spans="2:11" s="30" customFormat="1" x14ac:dyDescent="0.25">
      <c r="B22" s="31" t="s">
        <v>34</v>
      </c>
      <c r="C22" s="32"/>
      <c r="D22" s="32"/>
      <c r="E22" s="32"/>
      <c r="F22" s="34"/>
      <c r="G22" s="34"/>
      <c r="H22" s="5"/>
      <c r="I22" s="5"/>
      <c r="J22" s="5"/>
      <c r="K22" s="5"/>
    </row>
    <row r="23" spans="2:11" s="30" customFormat="1" x14ac:dyDescent="0.25">
      <c r="B23" s="31"/>
      <c r="C23" s="32"/>
      <c r="D23" s="32"/>
      <c r="E23" s="32"/>
      <c r="F23" s="34"/>
      <c r="G23" s="34"/>
      <c r="H23" s="5"/>
      <c r="I23" s="5"/>
      <c r="J23" s="5"/>
      <c r="K23" s="5"/>
    </row>
    <row r="24" spans="2:2" x14ac:dyDescent="0.25">
      <c r="B24" s="35"/>
    </row>
    <row r="25" spans="2:2" x14ac:dyDescent="0.25">
      <c r="B25" s="35"/>
    </row>
  </sheetData>
  <sheetProtection sheet="1" selectLockedCells="1" algorithmName="SHA-512" hashValue="z6zCyYO+1ixaDZfCcGvGJIQEqJqgx1RWV6GtNq/dvjTgKQ1HEyik1CfUF/1JD+pop7XfvfI3NONZRp9cwo0NeQ==" saltValue="FpK8v4x4U+Vjdl5hOO/uIw==" spinCount="100000"/>
  <mergeCells count="26">
    <mergeCell ref="B1:K1"/>
    <mergeCell ref="C2:E2"/>
    <mergeCell ref="F2:G2"/>
    <mergeCell ref="H2:K2"/>
    <mergeCell ref="C3:K3"/>
    <mergeCell ref="C4:G4"/>
    <mergeCell ref="H4:I4"/>
    <mergeCell ref="J4:K4"/>
    <mergeCell ref="C5:E5"/>
    <mergeCell ref="F5:G5"/>
    <mergeCell ref="C6:E6"/>
    <mergeCell ref="F6:G6"/>
    <mergeCell ref="C7:E7"/>
    <mergeCell ref="F7:G7"/>
    <mergeCell ref="C8:E8"/>
    <mergeCell ref="F8:G8"/>
    <mergeCell ref="C9:E9"/>
    <mergeCell ref="F9:G9"/>
    <mergeCell ref="B10:G10"/>
    <mergeCell ref="B11:K11"/>
    <mergeCell ref="B12:E12"/>
    <mergeCell ref="F12:K12"/>
    <mergeCell ref="B13:C13"/>
    <mergeCell ref="F13:K13"/>
    <mergeCell ref="B14:C14"/>
    <mergeCell ref="F14:K14"/>
  </mergeCells>
  <dataValidations count="2">
    <dataValidation type="whole" allowBlank="1" showInputMessage="1" prompt="請輸入0-100之間" showErrorMessage="1" error="請輸入0-100之間" sqref="F6">
      <formula1>0</formula1>
      <formula2>100</formula2>
    </dataValidation>
    <dataValidation type="whole" allowBlank="1" showInputMessage="1" showErrorMessage="1" error="請輸入0-100之間" sqref="F7:F9">
      <formula1>0</formula1>
      <formula2>100</formula2>
    </dataValidation>
  </dataValidations>
  <printOptions horizontalCentered="1"/>
  <pageMargins left="0.03937007874015748" right="0.03937007874015748" top="0.5511811023622047" bottom="0.7480314960629921" header="0.31496062992125984" footer="0.31496062992125984"/>
  <pageSetup paperSize="9" orientation="portrait" horizontalDpi="2147483648" verticalDpi="2147483648" scale="100" fitToWidth="1" fitToHeight="1" firstPageNumber="1" useFirstPageNumber="1" copies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5"/>
  <sheetViews>
    <sheetView workbookViewId="0" zoomScale="100" zoomScaleNormal="100">
      <selection activeCell="C3" sqref="C3"/>
    </sheetView>
  </sheetViews>
  <sheetFormatPr defaultRowHeight="15" outlineLevelRow="0" outlineLevelCol="0" x14ac:dyDescent="0" defaultColWidth="11.19921875"/>
  <cols>
    <col min="1" max="1" width="0.09765625" style="1" hidden="1" customWidth="1"/>
    <col min="2" max="2" width="16.69921875" style="2" customWidth="1"/>
    <col min="3" max="3" width="18.59765625" style="2" customWidth="1"/>
    <col min="4" max="4" width="5.5" style="2" hidden="1" customWidth="1"/>
    <col min="5" max="5" width="32" style="3" customWidth="1"/>
    <col min="6" max="6" width="4.69921875" style="4" customWidth="1"/>
    <col min="7" max="7" width="7.59765625" style="4" customWidth="1"/>
    <col min="8" max="10" width="6.59765625" style="5" customWidth="1"/>
    <col min="11" max="11" width="7.09765625" style="5" customWidth="1"/>
    <col min="12" max="16384" width="11.19921875" style="1" customWidth="1"/>
  </cols>
  <sheetData>
    <row r="1" ht="36.65" customHeight="1" spans="1:11" s="6" customFormat="1" x14ac:dyDescent="0.25">
      <c r="A1" s="7"/>
      <c r="B1" s="8" t="s">
        <v>0</v>
      </c>
      <c r="C1" s="9"/>
      <c r="D1" s="9"/>
      <c r="E1" s="9"/>
      <c r="F1" s="9"/>
      <c r="G1" s="9"/>
      <c r="H1" s="9"/>
      <c r="I1" s="9"/>
      <c r="J1" s="9"/>
      <c r="K1" s="10"/>
    </row>
    <row r="2" ht="35.25" customHeight="1" spans="1:11" x14ac:dyDescent="0.25">
      <c r="A2" s="7"/>
      <c r="B2" s="11" t="s">
        <v>1</v>
      </c>
      <c r="C2" s="11" t="s">
        <v>51</v>
      </c>
      <c r="D2" s="11"/>
      <c r="E2" s="11"/>
      <c r="F2" s="11" t="s">
        <v>3</v>
      </c>
      <c r="G2" s="11"/>
      <c r="H2" s="11" t="s">
        <v>52</v>
      </c>
      <c r="I2" s="11"/>
      <c r="J2" s="11"/>
      <c r="K2" s="11"/>
    </row>
    <row r="3" ht="58.9" customHeight="1" spans="1:11" x14ac:dyDescent="0.25">
      <c r="A3" s="7"/>
      <c r="B3" s="12" t="s">
        <v>5</v>
      </c>
      <c r="C3" s="13" t="s">
        <v>53</v>
      </c>
      <c r="D3" s="14"/>
      <c r="E3" s="14"/>
      <c r="F3" s="14"/>
      <c r="G3" s="14"/>
      <c r="H3" s="14"/>
      <c r="I3" s="14"/>
      <c r="J3" s="14"/>
      <c r="K3" s="15"/>
    </row>
    <row r="4" ht="35.25" customHeight="1" spans="1:11" x14ac:dyDescent="0.25">
      <c r="A4" s="7"/>
      <c r="B4" s="12" t="s">
        <v>7</v>
      </c>
      <c r="C4" s="12" t="s">
        <v>8</v>
      </c>
      <c r="D4" s="12"/>
      <c r="E4" s="12"/>
      <c r="F4" s="12"/>
      <c r="G4" s="12"/>
      <c r="H4" s="16" t="s">
        <v>9</v>
      </c>
      <c r="I4" s="16"/>
      <c r="J4" s="16" t="s">
        <v>10</v>
      </c>
      <c r="K4" s="16"/>
    </row>
    <row r="5" ht="30" customHeight="1" spans="1:11" x14ac:dyDescent="0.25">
      <c r="A5" s="7"/>
      <c r="B5" s="11" t="s">
        <v>11</v>
      </c>
      <c r="C5" s="17" t="s">
        <v>12</v>
      </c>
      <c r="D5" s="17"/>
      <c r="E5" s="17"/>
      <c r="F5" s="17" t="s">
        <v>13</v>
      </c>
      <c r="G5" s="17"/>
      <c r="H5" s="16" t="s">
        <v>14</v>
      </c>
      <c r="I5" s="16" t="s">
        <v>15</v>
      </c>
      <c r="J5" s="16" t="s">
        <v>14</v>
      </c>
      <c r="K5" s="16" t="s">
        <v>15</v>
      </c>
    </row>
    <row r="6" ht="64.5" customHeight="1" spans="1:11" x14ac:dyDescent="0.25">
      <c r="A6" s="7"/>
      <c r="B6" s="11" t="s">
        <v>16</v>
      </c>
      <c r="C6" s="18" t="s">
        <v>17</v>
      </c>
      <c r="D6" s="18"/>
      <c r="E6" s="18"/>
      <c r="F6" s="19"/>
      <c r="G6" s="19"/>
      <c r="H6" s="20">
        <v>0.3</v>
      </c>
      <c r="I6" s="20">
        <v>0.2</v>
      </c>
      <c r="J6" s="20">
        <v>0.3</v>
      </c>
      <c r="K6" s="20">
        <v>0.25</v>
      </c>
    </row>
    <row r="7" ht="81.15" customHeight="1" spans="1:11" x14ac:dyDescent="0.25">
      <c r="A7" s="7"/>
      <c r="B7" s="11" t="s">
        <v>18</v>
      </c>
      <c r="C7" s="18" t="s">
        <v>19</v>
      </c>
      <c r="D7" s="18"/>
      <c r="E7" s="18"/>
      <c r="F7" s="19"/>
      <c r="G7" s="19"/>
      <c r="H7" s="20">
        <v>0.3</v>
      </c>
      <c r="I7" s="20">
        <v>0.2</v>
      </c>
      <c r="J7" s="20">
        <v>0.4</v>
      </c>
      <c r="K7" s="20">
        <v>0.25</v>
      </c>
    </row>
    <row r="8" ht="53.4" customHeight="1" spans="1:11" x14ac:dyDescent="0.25">
      <c r="A8" s="7"/>
      <c r="B8" s="11" t="s">
        <v>20</v>
      </c>
      <c r="C8" s="21" t="s">
        <v>21</v>
      </c>
      <c r="D8" s="22"/>
      <c r="E8" s="18"/>
      <c r="F8" s="19"/>
      <c r="G8" s="19"/>
      <c r="H8" s="20">
        <v>0.1</v>
      </c>
      <c r="I8" s="20">
        <v>0.1</v>
      </c>
      <c r="J8" s="20">
        <v>0</v>
      </c>
      <c r="K8" s="20">
        <v>0</v>
      </c>
    </row>
    <row r="9" ht="40.25" customHeight="1" spans="1:11" x14ac:dyDescent="0.25">
      <c r="A9" s="7"/>
      <c r="B9" s="11" t="s">
        <v>22</v>
      </c>
      <c r="C9" s="18" t="s">
        <v>23</v>
      </c>
      <c r="D9" s="18"/>
      <c r="E9" s="18"/>
      <c r="F9" s="19"/>
      <c r="G9" s="19"/>
      <c r="H9" s="20">
        <v>0.3</v>
      </c>
      <c r="I9" s="20">
        <v>0.5</v>
      </c>
      <c r="J9" s="20">
        <v>0.3</v>
      </c>
      <c r="K9" s="20">
        <v>0.5</v>
      </c>
    </row>
    <row r="10" ht="50.4" customHeight="1" spans="1:11" x14ac:dyDescent="0.25">
      <c r="A10" s="7"/>
      <c r="B10" s="23" t="s">
        <v>24</v>
      </c>
      <c r="C10" s="23"/>
      <c r="D10" s="23"/>
      <c r="E10" s="24"/>
      <c r="F10" s="24"/>
      <c r="G10" s="24"/>
      <c r="H10" s="20">
        <f>SUM(H6:H9)</f>
      </c>
      <c r="I10" s="20">
        <f>SUM(I6:I9)</f>
      </c>
      <c r="J10" s="20">
        <f>SUM(J6:J9)</f>
      </c>
      <c r="K10" s="20">
        <f>SUM(K6:K9)</f>
      </c>
    </row>
    <row r="11" ht="43.25" customHeight="1" spans="1:11" x14ac:dyDescent="0.25">
      <c r="A11" s="7"/>
      <c r="B11" s="25"/>
      <c r="C11" s="26"/>
      <c r="D11" s="26"/>
      <c r="E11" s="26"/>
      <c r="F11" s="26"/>
      <c r="G11" s="26"/>
      <c r="H11" s="26"/>
      <c r="I11" s="26"/>
      <c r="J11" s="26"/>
      <c r="K11" s="27"/>
    </row>
    <row r="12" ht="31.75" customHeight="1" spans="1:11" x14ac:dyDescent="0.25">
      <c r="A12" s="7"/>
      <c r="B12" s="17" t="s">
        <v>25</v>
      </c>
      <c r="C12" s="17"/>
      <c r="D12" s="17"/>
      <c r="E12" s="17"/>
      <c r="F12" s="17" t="s">
        <v>26</v>
      </c>
      <c r="G12" s="17"/>
      <c r="H12" s="17"/>
      <c r="I12" s="17"/>
      <c r="J12" s="17"/>
      <c r="K12" s="17"/>
    </row>
    <row r="13" ht="30" customHeight="1" spans="1:11" x14ac:dyDescent="0.25">
      <c r="A13" s="7"/>
      <c r="B13" s="17" t="s">
        <v>14</v>
      </c>
      <c r="C13" s="17"/>
      <c r="D13" s="17">
        <f>IFERROR(
            IF(
                INDEX(參數!$A:$D, MATCH(C2, 參數!$B:$B, 0), 4) = "員工",
                ROUND(SUM(F6*J6, F7*J7, F8*J8, F9*J9), 0),
                IF(
                    INDEX(參數!$A:$D, MATCH(C2, 參數!$B:$B, 0), 4) = "主管",
                    ROUND(SUM(F6*H6, F7*H7, F8*H8, F9*H9), 0),
                    ""
                )
            ),
            ""
        )</f>
      </c>
      <c r="E13" s="28">
        <f t="array" ref="E13">IF(AND(ISNUMBER($D$13),$D$13&gt;0),
    IFERROR(
        _xlfn.IFS(
            $D$13&gt;=90,"考核:優",
            $D$13&gt;=80,"考核:甲",
            $D$13&gt;=70,"考核:乙",
            $D$13&gt;=60,"考核:丙",
            $D$13&gt;=50,"考核:丁",
            $D$13&gt;=1,"考核:戊"
        ),
        ""
    ),
    ""
)</f>
      </c>
      <c r="F13" s="29"/>
      <c r="G13" s="29"/>
      <c r="H13" s="29"/>
      <c r="I13" s="29"/>
      <c r="J13" s="29"/>
      <c r="K13" s="29"/>
    </row>
    <row r="14" ht="30" customHeight="1" spans="1:11" x14ac:dyDescent="0.25">
      <c r="A14" s="7"/>
      <c r="B14" s="17" t="s">
        <v>15</v>
      </c>
      <c r="C14" s="17"/>
      <c r="D14" s="17">
        <f>IFERROR(
        IF(
            INDEX(參數!$A:$D, MATCH(C2, 參數!$B:$B, 0), 4) = "員工",
            ROUND(SUM(F6*K6, F7*K7, F8*K8, F9*K9), 0),
            IF(
                INDEX(參數!$A:$D, MATCH(C2, 參數!$B:$B, 0), 4) = "主管",
                ROUND(SUM(F6*I6, F7*I7, F8*I8, F9*I9), 0),
                ""
            )
        ),
        ""
    )</f>
      </c>
      <c r="E14" s="28">
        <f t="array" ref="E14">IF(AND(ISNUMBER($D$14),$D$14&gt;0),
    IFERROR(
        _xlfn.IFS(
            $D$14&gt;=90,"績效:優",
            $D$14&gt;=80,"績效:甲",
            $D$14&gt;=70,"績效:乙",
            $D$14&gt;=60,"績效:丙",
            $D$14&gt;=50,"績效:丁",
            $D$14&gt;=1,"績效:戊"
        ),
        ""
    ),
    ""
)</f>
      </c>
      <c r="F14" s="29"/>
      <c r="G14" s="29"/>
      <c r="H14" s="29"/>
      <c r="I14" s="29"/>
      <c r="J14" s="29"/>
      <c r="K14" s="29"/>
    </row>
    <row r="15" ht="19.25" customHeight="1" spans="2:11" s="30" customFormat="1" x14ac:dyDescent="0.25">
      <c r="B15" s="31" t="s">
        <v>27</v>
      </c>
      <c r="C15" s="32"/>
      <c r="D15" s="32"/>
      <c r="E15" s="32"/>
      <c r="F15" s="33"/>
      <c r="G15" s="34"/>
      <c r="H15" s="5"/>
      <c r="I15" s="5"/>
      <c r="J15" s="5"/>
      <c r="K15" s="5"/>
    </row>
    <row r="16" spans="2:11" s="30" customFormat="1" x14ac:dyDescent="0.25">
      <c r="B16" s="31" t="s">
        <v>28</v>
      </c>
      <c r="C16" s="32"/>
      <c r="D16" s="32"/>
      <c r="E16" s="32"/>
      <c r="F16" s="34"/>
      <c r="G16" s="34"/>
      <c r="H16" s="5"/>
      <c r="I16" s="5"/>
      <c r="J16" s="5"/>
      <c r="K16" s="5"/>
    </row>
    <row r="17" spans="2:11" s="30" customFormat="1" x14ac:dyDescent="0.25">
      <c r="B17" s="31" t="s">
        <v>29</v>
      </c>
      <c r="C17" s="32"/>
      <c r="D17" s="32"/>
      <c r="E17" s="32"/>
      <c r="F17" s="34"/>
      <c r="G17" s="34"/>
      <c r="H17" s="5"/>
      <c r="I17" s="5"/>
      <c r="J17" s="5"/>
      <c r="K17" s="5"/>
    </row>
    <row r="18" spans="2:11" s="30" customFormat="1" x14ac:dyDescent="0.25">
      <c r="B18" s="31" t="s">
        <v>30</v>
      </c>
      <c r="C18" s="32"/>
      <c r="D18" s="32"/>
      <c r="E18" s="32"/>
      <c r="F18" s="34"/>
      <c r="G18" s="34"/>
      <c r="H18" s="5"/>
      <c r="I18" s="5"/>
      <c r="J18" s="5"/>
      <c r="K18" s="5"/>
    </row>
    <row r="19" spans="2:11" s="30" customFormat="1" x14ac:dyDescent="0.25">
      <c r="B19" s="31" t="s">
        <v>31</v>
      </c>
      <c r="C19" s="32"/>
      <c r="D19" s="32"/>
      <c r="E19" s="32"/>
      <c r="F19" s="34"/>
      <c r="G19" s="34"/>
      <c r="H19" s="5"/>
      <c r="I19" s="5"/>
      <c r="J19" s="5"/>
      <c r="K19" s="5"/>
    </row>
    <row r="20" spans="2:11" s="30" customFormat="1" x14ac:dyDescent="0.25">
      <c r="B20" s="31" t="s">
        <v>32</v>
      </c>
      <c r="C20" s="32"/>
      <c r="D20" s="32"/>
      <c r="E20" s="32"/>
      <c r="F20" s="34"/>
      <c r="G20" s="34"/>
      <c r="H20" s="5"/>
      <c r="I20" s="5"/>
      <c r="J20" s="5"/>
      <c r="K20" s="5"/>
    </row>
    <row r="21" spans="2:11" s="30" customFormat="1" x14ac:dyDescent="0.25">
      <c r="B21" s="31" t="s">
        <v>33</v>
      </c>
      <c r="C21" s="32"/>
      <c r="D21" s="32"/>
      <c r="E21" s="32"/>
      <c r="F21" s="34"/>
      <c r="G21" s="34"/>
      <c r="H21" s="5"/>
      <c r="I21" s="5"/>
      <c r="J21" s="5"/>
      <c r="K21" s="5"/>
    </row>
    <row r="22" spans="2:11" s="30" customFormat="1" x14ac:dyDescent="0.25">
      <c r="B22" s="31" t="s">
        <v>34</v>
      </c>
      <c r="C22" s="32"/>
      <c r="D22" s="32"/>
      <c r="E22" s="32"/>
      <c r="F22" s="34"/>
      <c r="G22" s="34"/>
      <c r="H22" s="5"/>
      <c r="I22" s="5"/>
      <c r="J22" s="5"/>
      <c r="K22" s="5"/>
    </row>
    <row r="23" spans="2:11" s="30" customFormat="1" x14ac:dyDescent="0.25">
      <c r="B23" s="31"/>
      <c r="C23" s="32"/>
      <c r="D23" s="32"/>
      <c r="E23" s="32"/>
      <c r="F23" s="34"/>
      <c r="G23" s="34"/>
      <c r="H23" s="5"/>
      <c r="I23" s="5"/>
      <c r="J23" s="5"/>
      <c r="K23" s="5"/>
    </row>
    <row r="24" spans="2:2" x14ac:dyDescent="0.25">
      <c r="B24" s="35"/>
    </row>
    <row r="25" spans="2:2" x14ac:dyDescent="0.25">
      <c r="B25" s="35"/>
    </row>
  </sheetData>
  <sheetProtection sheet="1" selectLockedCells="1" algorithmName="SHA-512" hashValue="z6zCyYO+1ixaDZfCcGvGJIQEqJqgx1RWV6GtNq/dvjTgKQ1HEyik1CfUF/1JD+pop7XfvfI3NONZRp9cwo0NeQ==" saltValue="FpK8v4x4U+Vjdl5hOO/uIw==" spinCount="100000"/>
  <mergeCells count="26">
    <mergeCell ref="B1:K1"/>
    <mergeCell ref="C2:E2"/>
    <mergeCell ref="F2:G2"/>
    <mergeCell ref="H2:K2"/>
    <mergeCell ref="C3:K3"/>
    <mergeCell ref="C4:G4"/>
    <mergeCell ref="H4:I4"/>
    <mergeCell ref="J4:K4"/>
    <mergeCell ref="C5:E5"/>
    <mergeCell ref="F5:G5"/>
    <mergeCell ref="C6:E6"/>
    <mergeCell ref="F6:G6"/>
    <mergeCell ref="C7:E7"/>
    <mergeCell ref="F7:G7"/>
    <mergeCell ref="C8:E8"/>
    <mergeCell ref="F8:G8"/>
    <mergeCell ref="C9:E9"/>
    <mergeCell ref="F9:G9"/>
    <mergeCell ref="B10:G10"/>
    <mergeCell ref="B11:K11"/>
    <mergeCell ref="B12:E12"/>
    <mergeCell ref="F12:K12"/>
    <mergeCell ref="B13:C13"/>
    <mergeCell ref="F13:K13"/>
    <mergeCell ref="B14:C14"/>
    <mergeCell ref="F14:K14"/>
  </mergeCells>
  <dataValidations count="2">
    <dataValidation type="whole" allowBlank="1" showInputMessage="1" prompt="請輸入0-100之間" showErrorMessage="1" error="請輸入0-100之間" sqref="F6">
      <formula1>0</formula1>
      <formula2>100</formula2>
    </dataValidation>
    <dataValidation type="whole" allowBlank="1" showInputMessage="1" showErrorMessage="1" error="請輸入0-100之間" sqref="F7:F9">
      <formula1>0</formula1>
      <formula2>100</formula2>
    </dataValidation>
  </dataValidations>
  <printOptions horizontalCentered="1"/>
  <pageMargins left="0.03937007874015748" right="0.03937007874015748" top="0.5511811023622047" bottom="0.7480314960629921" header="0.31496062992125984" footer="0.31496062992125984"/>
  <pageSetup paperSize="9" orientation="portrait" horizontalDpi="2147483648" verticalDpi="2147483648" scale="100" fitToWidth="1" fitToHeight="1" firstPageNumber="1" useFirstPageNumber="1" copies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5"/>
  <sheetViews>
    <sheetView workbookViewId="0" zoomScale="100" zoomScaleNormal="100">
      <selection activeCell="C3" sqref="C3"/>
    </sheetView>
  </sheetViews>
  <sheetFormatPr defaultRowHeight="15" outlineLevelRow="0" outlineLevelCol="0" x14ac:dyDescent="0" defaultColWidth="11.19921875"/>
  <cols>
    <col min="1" max="1" width="0.09765625" style="1" hidden="1" customWidth="1"/>
    <col min="2" max="2" width="16.69921875" style="2" customWidth="1"/>
    <col min="3" max="3" width="18.59765625" style="2" customWidth="1"/>
    <col min="4" max="4" width="5.5" style="2" hidden="1" customWidth="1"/>
    <col min="5" max="5" width="32" style="3" customWidth="1"/>
    <col min="6" max="6" width="4.69921875" style="4" customWidth="1"/>
    <col min="7" max="7" width="7.59765625" style="4" customWidth="1"/>
    <col min="8" max="10" width="6.59765625" style="5" customWidth="1"/>
    <col min="11" max="11" width="7.09765625" style="5" customWidth="1"/>
    <col min="12" max="16384" width="11.19921875" style="1" customWidth="1"/>
  </cols>
  <sheetData>
    <row r="1" ht="36.65" customHeight="1" spans="1:11" s="6" customFormat="1" x14ac:dyDescent="0.25">
      <c r="A1" s="7"/>
      <c r="B1" s="8" t="s">
        <v>0</v>
      </c>
      <c r="C1" s="9"/>
      <c r="D1" s="9"/>
      <c r="E1" s="9"/>
      <c r="F1" s="9"/>
      <c r="G1" s="9"/>
      <c r="H1" s="9"/>
      <c r="I1" s="9"/>
      <c r="J1" s="9"/>
      <c r="K1" s="10"/>
    </row>
    <row r="2" ht="35.25" customHeight="1" spans="1:11" x14ac:dyDescent="0.25">
      <c r="A2" s="7"/>
      <c r="B2" s="11" t="s">
        <v>1</v>
      </c>
      <c r="C2" s="11" t="s">
        <v>54</v>
      </c>
      <c r="D2" s="11"/>
      <c r="E2" s="11"/>
      <c r="F2" s="11" t="s">
        <v>3</v>
      </c>
      <c r="G2" s="11"/>
      <c r="H2" s="11" t="s">
        <v>55</v>
      </c>
      <c r="I2" s="11"/>
      <c r="J2" s="11"/>
      <c r="K2" s="11"/>
    </row>
    <row r="3" ht="58.9" customHeight="1" spans="1:11" x14ac:dyDescent="0.25">
      <c r="A3" s="7"/>
      <c r="B3" s="12" t="s">
        <v>5</v>
      </c>
      <c r="C3" s="13" t="s">
        <v>56</v>
      </c>
      <c r="D3" s="14"/>
      <c r="E3" s="14"/>
      <c r="F3" s="14"/>
      <c r="G3" s="14"/>
      <c r="H3" s="14"/>
      <c r="I3" s="14"/>
      <c r="J3" s="14"/>
      <c r="K3" s="15"/>
    </row>
    <row r="4" ht="35.25" customHeight="1" spans="1:11" x14ac:dyDescent="0.25">
      <c r="A4" s="7"/>
      <c r="B4" s="12" t="s">
        <v>7</v>
      </c>
      <c r="C4" s="12" t="s">
        <v>8</v>
      </c>
      <c r="D4" s="12"/>
      <c r="E4" s="12"/>
      <c r="F4" s="12"/>
      <c r="G4" s="12"/>
      <c r="H4" s="16" t="s">
        <v>9</v>
      </c>
      <c r="I4" s="16"/>
      <c r="J4" s="16" t="s">
        <v>10</v>
      </c>
      <c r="K4" s="16"/>
    </row>
    <row r="5" ht="30" customHeight="1" spans="1:11" x14ac:dyDescent="0.25">
      <c r="A5" s="7"/>
      <c r="B5" s="11" t="s">
        <v>11</v>
      </c>
      <c r="C5" s="17" t="s">
        <v>12</v>
      </c>
      <c r="D5" s="17"/>
      <c r="E5" s="17"/>
      <c r="F5" s="17" t="s">
        <v>13</v>
      </c>
      <c r="G5" s="17"/>
      <c r="H5" s="16" t="s">
        <v>14</v>
      </c>
      <c r="I5" s="16" t="s">
        <v>15</v>
      </c>
      <c r="J5" s="16" t="s">
        <v>14</v>
      </c>
      <c r="K5" s="16" t="s">
        <v>15</v>
      </c>
    </row>
    <row r="6" ht="64.5" customHeight="1" spans="1:11" x14ac:dyDescent="0.25">
      <c r="A6" s="7"/>
      <c r="B6" s="11" t="s">
        <v>16</v>
      </c>
      <c r="C6" s="18" t="s">
        <v>17</v>
      </c>
      <c r="D6" s="18"/>
      <c r="E6" s="18"/>
      <c r="F6" s="19"/>
      <c r="G6" s="19"/>
      <c r="H6" s="20">
        <v>0.3</v>
      </c>
      <c r="I6" s="20">
        <v>0.2</v>
      </c>
      <c r="J6" s="20">
        <v>0.3</v>
      </c>
      <c r="K6" s="20">
        <v>0.25</v>
      </c>
    </row>
    <row r="7" ht="81.15" customHeight="1" spans="1:11" x14ac:dyDescent="0.25">
      <c r="A7" s="7"/>
      <c r="B7" s="11" t="s">
        <v>18</v>
      </c>
      <c r="C7" s="18" t="s">
        <v>19</v>
      </c>
      <c r="D7" s="18"/>
      <c r="E7" s="18"/>
      <c r="F7" s="19"/>
      <c r="G7" s="19"/>
      <c r="H7" s="20">
        <v>0.3</v>
      </c>
      <c r="I7" s="20">
        <v>0.2</v>
      </c>
      <c r="J7" s="20">
        <v>0.4</v>
      </c>
      <c r="K7" s="20">
        <v>0.25</v>
      </c>
    </row>
    <row r="8" ht="53.4" customHeight="1" spans="1:11" x14ac:dyDescent="0.25">
      <c r="A8" s="7"/>
      <c r="B8" s="11" t="s">
        <v>20</v>
      </c>
      <c r="C8" s="21" t="s">
        <v>21</v>
      </c>
      <c r="D8" s="22"/>
      <c r="E8" s="18"/>
      <c r="F8" s="19"/>
      <c r="G8" s="19"/>
      <c r="H8" s="20">
        <v>0.1</v>
      </c>
      <c r="I8" s="20">
        <v>0.1</v>
      </c>
      <c r="J8" s="20">
        <v>0</v>
      </c>
      <c r="K8" s="20">
        <v>0</v>
      </c>
    </row>
    <row r="9" ht="40.25" customHeight="1" spans="1:11" x14ac:dyDescent="0.25">
      <c r="A9" s="7"/>
      <c r="B9" s="11" t="s">
        <v>22</v>
      </c>
      <c r="C9" s="18" t="s">
        <v>23</v>
      </c>
      <c r="D9" s="18"/>
      <c r="E9" s="18"/>
      <c r="F9" s="19"/>
      <c r="G9" s="19"/>
      <c r="H9" s="20">
        <v>0.3</v>
      </c>
      <c r="I9" s="20">
        <v>0.5</v>
      </c>
      <c r="J9" s="20">
        <v>0.3</v>
      </c>
      <c r="K9" s="20">
        <v>0.5</v>
      </c>
    </row>
    <row r="10" ht="50.4" customHeight="1" spans="1:11" x14ac:dyDescent="0.25">
      <c r="A10" s="7"/>
      <c r="B10" s="23" t="s">
        <v>24</v>
      </c>
      <c r="C10" s="23"/>
      <c r="D10" s="23"/>
      <c r="E10" s="24"/>
      <c r="F10" s="24"/>
      <c r="G10" s="24"/>
      <c r="H10" s="20">
        <f>SUM(H6:H9)</f>
      </c>
      <c r="I10" s="20">
        <f>SUM(I6:I9)</f>
      </c>
      <c r="J10" s="20">
        <f>SUM(J6:J9)</f>
      </c>
      <c r="K10" s="20">
        <f>SUM(K6:K9)</f>
      </c>
    </row>
    <row r="11" ht="43.25" customHeight="1" spans="1:11" x14ac:dyDescent="0.25">
      <c r="A11" s="7"/>
      <c r="B11" s="25"/>
      <c r="C11" s="26"/>
      <c r="D11" s="26"/>
      <c r="E11" s="26"/>
      <c r="F11" s="26"/>
      <c r="G11" s="26"/>
      <c r="H11" s="26"/>
      <c r="I11" s="26"/>
      <c r="J11" s="26"/>
      <c r="K11" s="27"/>
    </row>
    <row r="12" ht="31.75" customHeight="1" spans="1:11" x14ac:dyDescent="0.25">
      <c r="A12" s="7"/>
      <c r="B12" s="17" t="s">
        <v>25</v>
      </c>
      <c r="C12" s="17"/>
      <c r="D12" s="17"/>
      <c r="E12" s="17"/>
      <c r="F12" s="17" t="s">
        <v>26</v>
      </c>
      <c r="G12" s="17"/>
      <c r="H12" s="17"/>
      <c r="I12" s="17"/>
      <c r="J12" s="17"/>
      <c r="K12" s="17"/>
    </row>
    <row r="13" ht="30" customHeight="1" spans="1:11" x14ac:dyDescent="0.25">
      <c r="A13" s="7"/>
      <c r="B13" s="17" t="s">
        <v>14</v>
      </c>
      <c r="C13" s="17"/>
      <c r="D13" s="17">
        <f>IFERROR(
            IF(
                INDEX(參數!$A:$D, MATCH(C2, 參數!$B:$B, 0), 4) = "員工",
                ROUND(SUM(F6*J6, F7*J7, F8*J8, F9*J9), 0),
                IF(
                    INDEX(參數!$A:$D, MATCH(C2, 參數!$B:$B, 0), 4) = "主管",
                    ROUND(SUM(F6*H6, F7*H7, F8*H8, F9*H9), 0),
                    ""
                )
            ),
            ""
        )</f>
      </c>
      <c r="E13" s="28">
        <f t="array" ref="E13">IF(AND(ISNUMBER($D$13),$D$13&gt;0),
    IFERROR(
        _xlfn.IFS(
            $D$13&gt;=90,"考核:優",
            $D$13&gt;=80,"考核:甲",
            $D$13&gt;=70,"考核:乙",
            $D$13&gt;=60,"考核:丙",
            $D$13&gt;=50,"考核:丁",
            $D$13&gt;=1,"考核:戊"
        ),
        ""
    ),
    ""
)</f>
      </c>
      <c r="F13" s="29"/>
      <c r="G13" s="29"/>
      <c r="H13" s="29"/>
      <c r="I13" s="29"/>
      <c r="J13" s="29"/>
      <c r="K13" s="29"/>
    </row>
    <row r="14" ht="30" customHeight="1" spans="1:11" x14ac:dyDescent="0.25">
      <c r="A14" s="7"/>
      <c r="B14" s="17" t="s">
        <v>15</v>
      </c>
      <c r="C14" s="17"/>
      <c r="D14" s="17">
        <f>IFERROR(
        IF(
            INDEX(參數!$A:$D, MATCH(C2, 參數!$B:$B, 0), 4) = "員工",
            ROUND(SUM(F6*K6, F7*K7, F8*K8, F9*K9), 0),
            IF(
                INDEX(參數!$A:$D, MATCH(C2, 參數!$B:$B, 0), 4) = "主管",
                ROUND(SUM(F6*I6, F7*I7, F8*I8, F9*I9), 0),
                ""
            )
        ),
        ""
    )</f>
      </c>
      <c r="E14" s="28">
        <f t="array" ref="E14">IF(AND(ISNUMBER($D$14),$D$14&gt;0),
    IFERROR(
        _xlfn.IFS(
            $D$14&gt;=90,"績效:優",
            $D$14&gt;=80,"績效:甲",
            $D$14&gt;=70,"績效:乙",
            $D$14&gt;=60,"績效:丙",
            $D$14&gt;=50,"績效:丁",
            $D$14&gt;=1,"績效:戊"
        ),
        ""
    ),
    ""
)</f>
      </c>
      <c r="F14" s="29"/>
      <c r="G14" s="29"/>
      <c r="H14" s="29"/>
      <c r="I14" s="29"/>
      <c r="J14" s="29"/>
      <c r="K14" s="29"/>
    </row>
    <row r="15" ht="19.25" customHeight="1" spans="2:11" s="30" customFormat="1" x14ac:dyDescent="0.25">
      <c r="B15" s="31" t="s">
        <v>27</v>
      </c>
      <c r="C15" s="32"/>
      <c r="D15" s="32"/>
      <c r="E15" s="32"/>
      <c r="F15" s="33"/>
      <c r="G15" s="34"/>
      <c r="H15" s="5"/>
      <c r="I15" s="5"/>
      <c r="J15" s="5"/>
      <c r="K15" s="5"/>
    </row>
    <row r="16" spans="2:11" s="30" customFormat="1" x14ac:dyDescent="0.25">
      <c r="B16" s="31" t="s">
        <v>28</v>
      </c>
      <c r="C16" s="32"/>
      <c r="D16" s="32"/>
      <c r="E16" s="32"/>
      <c r="F16" s="34"/>
      <c r="G16" s="34"/>
      <c r="H16" s="5"/>
      <c r="I16" s="5"/>
      <c r="J16" s="5"/>
      <c r="K16" s="5"/>
    </row>
    <row r="17" spans="2:11" s="30" customFormat="1" x14ac:dyDescent="0.25">
      <c r="B17" s="31" t="s">
        <v>29</v>
      </c>
      <c r="C17" s="32"/>
      <c r="D17" s="32"/>
      <c r="E17" s="32"/>
      <c r="F17" s="34"/>
      <c r="G17" s="34"/>
      <c r="H17" s="5"/>
      <c r="I17" s="5"/>
      <c r="J17" s="5"/>
      <c r="K17" s="5"/>
    </row>
    <row r="18" spans="2:11" s="30" customFormat="1" x14ac:dyDescent="0.25">
      <c r="B18" s="31" t="s">
        <v>30</v>
      </c>
      <c r="C18" s="32"/>
      <c r="D18" s="32"/>
      <c r="E18" s="32"/>
      <c r="F18" s="34"/>
      <c r="G18" s="34"/>
      <c r="H18" s="5"/>
      <c r="I18" s="5"/>
      <c r="J18" s="5"/>
      <c r="K18" s="5"/>
    </row>
    <row r="19" spans="2:11" s="30" customFormat="1" x14ac:dyDescent="0.25">
      <c r="B19" s="31" t="s">
        <v>31</v>
      </c>
      <c r="C19" s="32"/>
      <c r="D19" s="32"/>
      <c r="E19" s="32"/>
      <c r="F19" s="34"/>
      <c r="G19" s="34"/>
      <c r="H19" s="5"/>
      <c r="I19" s="5"/>
      <c r="J19" s="5"/>
      <c r="K19" s="5"/>
    </row>
    <row r="20" spans="2:11" s="30" customFormat="1" x14ac:dyDescent="0.25">
      <c r="B20" s="31" t="s">
        <v>32</v>
      </c>
      <c r="C20" s="32"/>
      <c r="D20" s="32"/>
      <c r="E20" s="32"/>
      <c r="F20" s="34"/>
      <c r="G20" s="34"/>
      <c r="H20" s="5"/>
      <c r="I20" s="5"/>
      <c r="J20" s="5"/>
      <c r="K20" s="5"/>
    </row>
    <row r="21" spans="2:11" s="30" customFormat="1" x14ac:dyDescent="0.25">
      <c r="B21" s="31" t="s">
        <v>33</v>
      </c>
      <c r="C21" s="32"/>
      <c r="D21" s="32"/>
      <c r="E21" s="32"/>
      <c r="F21" s="34"/>
      <c r="G21" s="34"/>
      <c r="H21" s="5"/>
      <c r="I21" s="5"/>
      <c r="J21" s="5"/>
      <c r="K21" s="5"/>
    </row>
    <row r="22" spans="2:11" s="30" customFormat="1" x14ac:dyDescent="0.25">
      <c r="B22" s="31" t="s">
        <v>34</v>
      </c>
      <c r="C22" s="32"/>
      <c r="D22" s="32"/>
      <c r="E22" s="32"/>
      <c r="F22" s="34"/>
      <c r="G22" s="34"/>
      <c r="H22" s="5"/>
      <c r="I22" s="5"/>
      <c r="J22" s="5"/>
      <c r="K22" s="5"/>
    </row>
    <row r="23" spans="2:11" s="30" customFormat="1" x14ac:dyDescent="0.25">
      <c r="B23" s="31"/>
      <c r="C23" s="32"/>
      <c r="D23" s="32"/>
      <c r="E23" s="32"/>
      <c r="F23" s="34"/>
      <c r="G23" s="34"/>
      <c r="H23" s="5"/>
      <c r="I23" s="5"/>
      <c r="J23" s="5"/>
      <c r="K23" s="5"/>
    </row>
    <row r="24" spans="2:2" x14ac:dyDescent="0.25">
      <c r="B24" s="35"/>
    </row>
    <row r="25" spans="2:2" x14ac:dyDescent="0.25">
      <c r="B25" s="35"/>
    </row>
  </sheetData>
  <sheetProtection sheet="1" selectLockedCells="1" algorithmName="SHA-512" hashValue="z6zCyYO+1ixaDZfCcGvGJIQEqJqgx1RWV6GtNq/dvjTgKQ1HEyik1CfUF/1JD+pop7XfvfI3NONZRp9cwo0NeQ==" saltValue="FpK8v4x4U+Vjdl5hOO/uIw==" spinCount="100000"/>
  <mergeCells count="26">
    <mergeCell ref="B1:K1"/>
    <mergeCell ref="C2:E2"/>
    <mergeCell ref="F2:G2"/>
    <mergeCell ref="H2:K2"/>
    <mergeCell ref="C3:K3"/>
    <mergeCell ref="C4:G4"/>
    <mergeCell ref="H4:I4"/>
    <mergeCell ref="J4:K4"/>
    <mergeCell ref="C5:E5"/>
    <mergeCell ref="F5:G5"/>
    <mergeCell ref="C6:E6"/>
    <mergeCell ref="F6:G6"/>
    <mergeCell ref="C7:E7"/>
    <mergeCell ref="F7:G7"/>
    <mergeCell ref="C8:E8"/>
    <mergeCell ref="F8:G8"/>
    <mergeCell ref="C9:E9"/>
    <mergeCell ref="F9:G9"/>
    <mergeCell ref="B10:G10"/>
    <mergeCell ref="B11:K11"/>
    <mergeCell ref="B12:E12"/>
    <mergeCell ref="F12:K12"/>
    <mergeCell ref="B13:C13"/>
    <mergeCell ref="F13:K13"/>
    <mergeCell ref="B14:C14"/>
    <mergeCell ref="F14:K14"/>
  </mergeCells>
  <dataValidations count="2">
    <dataValidation type="whole" allowBlank="1" showInputMessage="1" prompt="請輸入0-100之間" showErrorMessage="1" error="請輸入0-100之間" sqref="F6">
      <formula1>0</formula1>
      <formula2>100</formula2>
    </dataValidation>
    <dataValidation type="whole" allowBlank="1" showInputMessage="1" showErrorMessage="1" error="請輸入0-100之間" sqref="F7:F9">
      <formula1>0</formula1>
      <formula2>100</formula2>
    </dataValidation>
  </dataValidations>
  <printOptions horizontalCentered="1"/>
  <pageMargins left="0.03937007874015748" right="0.03937007874015748" top="0.5511811023622047" bottom="0.7480314960629921" header="0.31496062992125984" footer="0.31496062992125984"/>
  <pageSetup paperSize="9" orientation="portrait" horizontalDpi="2147483648" verticalDpi="2147483648" scale="100" fitToWidth="1" fitToHeight="1" firstPageNumber="1" useFirstPageNumber="1" copies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5"/>
  <sheetViews>
    <sheetView workbookViewId="0" zoomScale="100" zoomScaleNormal="100">
      <selection activeCell="C3" sqref="C3"/>
    </sheetView>
  </sheetViews>
  <sheetFormatPr defaultRowHeight="15" outlineLevelRow="0" outlineLevelCol="0" x14ac:dyDescent="0" defaultColWidth="11.19921875"/>
  <cols>
    <col min="1" max="1" width="0.09765625" style="1" hidden="1" customWidth="1"/>
    <col min="2" max="2" width="16.69921875" style="2" customWidth="1"/>
    <col min="3" max="3" width="18.59765625" style="2" customWidth="1"/>
    <col min="4" max="4" width="5.5" style="2" hidden="1" customWidth="1"/>
    <col min="5" max="5" width="32" style="3" customWidth="1"/>
    <col min="6" max="6" width="4.69921875" style="4" customWidth="1"/>
    <col min="7" max="7" width="7.59765625" style="4" customWidth="1"/>
    <col min="8" max="10" width="6.59765625" style="5" customWidth="1"/>
    <col min="11" max="11" width="7.09765625" style="5" customWidth="1"/>
    <col min="12" max="16384" width="11.19921875" style="1" customWidth="1"/>
  </cols>
  <sheetData>
    <row r="1" ht="36.65" customHeight="1" spans="1:11" s="6" customFormat="1" x14ac:dyDescent="0.25">
      <c r="A1" s="7"/>
      <c r="B1" s="8" t="s">
        <v>0</v>
      </c>
      <c r="C1" s="9"/>
      <c r="D1" s="9"/>
      <c r="E1" s="9"/>
      <c r="F1" s="9"/>
      <c r="G1" s="9"/>
      <c r="H1" s="9"/>
      <c r="I1" s="9"/>
      <c r="J1" s="9"/>
      <c r="K1" s="10"/>
    </row>
    <row r="2" ht="35.25" customHeight="1" spans="1:11" x14ac:dyDescent="0.25">
      <c r="A2" s="7"/>
      <c r="B2" s="11" t="s">
        <v>1</v>
      </c>
      <c r="C2" s="11" t="s">
        <v>57</v>
      </c>
      <c r="D2" s="11"/>
      <c r="E2" s="11"/>
      <c r="F2" s="11" t="s">
        <v>3</v>
      </c>
      <c r="G2" s="11"/>
      <c r="H2" s="11" t="s">
        <v>58</v>
      </c>
      <c r="I2" s="11"/>
      <c r="J2" s="11"/>
      <c r="K2" s="11"/>
    </row>
    <row r="3" ht="58.9" customHeight="1" spans="1:11" x14ac:dyDescent="0.25">
      <c r="A3" s="7"/>
      <c r="B3" s="12" t="s">
        <v>5</v>
      </c>
      <c r="C3" s="13" t="s">
        <v>59</v>
      </c>
      <c r="D3" s="14"/>
      <c r="E3" s="14"/>
      <c r="F3" s="14"/>
      <c r="G3" s="14"/>
      <c r="H3" s="14"/>
      <c r="I3" s="14"/>
      <c r="J3" s="14"/>
      <c r="K3" s="15"/>
    </row>
    <row r="4" ht="35.25" customHeight="1" spans="1:11" x14ac:dyDescent="0.25">
      <c r="A4" s="7"/>
      <c r="B4" s="12" t="s">
        <v>7</v>
      </c>
      <c r="C4" s="12" t="s">
        <v>8</v>
      </c>
      <c r="D4" s="12"/>
      <c r="E4" s="12"/>
      <c r="F4" s="12"/>
      <c r="G4" s="12"/>
      <c r="H4" s="16" t="s">
        <v>9</v>
      </c>
      <c r="I4" s="16"/>
      <c r="J4" s="16" t="s">
        <v>10</v>
      </c>
      <c r="K4" s="16"/>
    </row>
    <row r="5" ht="30" customHeight="1" spans="1:11" x14ac:dyDescent="0.25">
      <c r="A5" s="7"/>
      <c r="B5" s="11" t="s">
        <v>11</v>
      </c>
      <c r="C5" s="17" t="s">
        <v>12</v>
      </c>
      <c r="D5" s="17"/>
      <c r="E5" s="17"/>
      <c r="F5" s="17" t="s">
        <v>13</v>
      </c>
      <c r="G5" s="17"/>
      <c r="H5" s="16" t="s">
        <v>14</v>
      </c>
      <c r="I5" s="16" t="s">
        <v>15</v>
      </c>
      <c r="J5" s="16" t="s">
        <v>14</v>
      </c>
      <c r="K5" s="16" t="s">
        <v>15</v>
      </c>
    </row>
    <row r="6" ht="64.5" customHeight="1" spans="1:11" x14ac:dyDescent="0.25">
      <c r="A6" s="7"/>
      <c r="B6" s="11" t="s">
        <v>16</v>
      </c>
      <c r="C6" s="18" t="s">
        <v>17</v>
      </c>
      <c r="D6" s="18"/>
      <c r="E6" s="18"/>
      <c r="F6" s="19"/>
      <c r="G6" s="19"/>
      <c r="H6" s="20">
        <v>0.3</v>
      </c>
      <c r="I6" s="20">
        <v>0.2</v>
      </c>
      <c r="J6" s="20">
        <v>0.3</v>
      </c>
      <c r="K6" s="20">
        <v>0.25</v>
      </c>
    </row>
    <row r="7" ht="81.15" customHeight="1" spans="1:11" x14ac:dyDescent="0.25">
      <c r="A7" s="7"/>
      <c r="B7" s="11" t="s">
        <v>18</v>
      </c>
      <c r="C7" s="18" t="s">
        <v>19</v>
      </c>
      <c r="D7" s="18"/>
      <c r="E7" s="18"/>
      <c r="F7" s="19"/>
      <c r="G7" s="19"/>
      <c r="H7" s="20">
        <v>0.3</v>
      </c>
      <c r="I7" s="20">
        <v>0.2</v>
      </c>
      <c r="J7" s="20">
        <v>0.4</v>
      </c>
      <c r="K7" s="20">
        <v>0.25</v>
      </c>
    </row>
    <row r="8" ht="53.4" customHeight="1" spans="1:11" x14ac:dyDescent="0.25">
      <c r="A8" s="7"/>
      <c r="B8" s="11" t="s">
        <v>20</v>
      </c>
      <c r="C8" s="21" t="s">
        <v>21</v>
      </c>
      <c r="D8" s="22"/>
      <c r="E8" s="18"/>
      <c r="F8" s="19"/>
      <c r="G8" s="19"/>
      <c r="H8" s="20">
        <v>0.1</v>
      </c>
      <c r="I8" s="20">
        <v>0.1</v>
      </c>
      <c r="J8" s="20">
        <v>0</v>
      </c>
      <c r="K8" s="20">
        <v>0</v>
      </c>
    </row>
    <row r="9" ht="40.25" customHeight="1" spans="1:11" x14ac:dyDescent="0.25">
      <c r="A9" s="7"/>
      <c r="B9" s="11" t="s">
        <v>22</v>
      </c>
      <c r="C9" s="18" t="s">
        <v>23</v>
      </c>
      <c r="D9" s="18"/>
      <c r="E9" s="18"/>
      <c r="F9" s="19"/>
      <c r="G9" s="19"/>
      <c r="H9" s="20">
        <v>0.3</v>
      </c>
      <c r="I9" s="20">
        <v>0.5</v>
      </c>
      <c r="J9" s="20">
        <v>0.3</v>
      </c>
      <c r="K9" s="20">
        <v>0.5</v>
      </c>
    </row>
    <row r="10" ht="50.4" customHeight="1" spans="1:11" x14ac:dyDescent="0.25">
      <c r="A10" s="7"/>
      <c r="B10" s="23" t="s">
        <v>24</v>
      </c>
      <c r="C10" s="23"/>
      <c r="D10" s="23"/>
      <c r="E10" s="24"/>
      <c r="F10" s="24"/>
      <c r="G10" s="24"/>
      <c r="H10" s="20">
        <f>SUM(H6:H9)</f>
      </c>
      <c r="I10" s="20">
        <f>SUM(I6:I9)</f>
      </c>
      <c r="J10" s="20">
        <f>SUM(J6:J9)</f>
      </c>
      <c r="K10" s="20">
        <f>SUM(K6:K9)</f>
      </c>
    </row>
    <row r="11" ht="43.25" customHeight="1" spans="1:11" x14ac:dyDescent="0.25">
      <c r="A11" s="7"/>
      <c r="B11" s="25"/>
      <c r="C11" s="26"/>
      <c r="D11" s="26"/>
      <c r="E11" s="26"/>
      <c r="F11" s="26"/>
      <c r="G11" s="26"/>
      <c r="H11" s="26"/>
      <c r="I11" s="26"/>
      <c r="J11" s="26"/>
      <c r="K11" s="27"/>
    </row>
    <row r="12" ht="31.75" customHeight="1" spans="1:11" x14ac:dyDescent="0.25">
      <c r="A12" s="7"/>
      <c r="B12" s="17" t="s">
        <v>25</v>
      </c>
      <c r="C12" s="17"/>
      <c r="D12" s="17"/>
      <c r="E12" s="17"/>
      <c r="F12" s="17" t="s">
        <v>26</v>
      </c>
      <c r="G12" s="17"/>
      <c r="H12" s="17"/>
      <c r="I12" s="17"/>
      <c r="J12" s="17"/>
      <c r="K12" s="17"/>
    </row>
    <row r="13" ht="30" customHeight="1" spans="1:11" x14ac:dyDescent="0.25">
      <c r="A13" s="7"/>
      <c r="B13" s="17" t="s">
        <v>14</v>
      </c>
      <c r="C13" s="17"/>
      <c r="D13" s="17">
        <f>IFERROR(
            IF(
                INDEX(參數!$A:$D, MATCH(C2, 參數!$B:$B, 0), 4) = "員工",
                ROUND(SUM(F6*J6, F7*J7, F8*J8, F9*J9), 0),
                IF(
                    INDEX(參數!$A:$D, MATCH(C2, 參數!$B:$B, 0), 4) = "主管",
                    ROUND(SUM(F6*H6, F7*H7, F8*H8, F9*H9), 0),
                    ""
                )
            ),
            ""
        )</f>
      </c>
      <c r="E13" s="28">
        <f t="array" ref="E13">IF(AND(ISNUMBER($D$13),$D$13&gt;0),
    IFERROR(
        _xlfn.IFS(
            $D$13&gt;=90,"考核:優",
            $D$13&gt;=80,"考核:甲",
            $D$13&gt;=70,"考核:乙",
            $D$13&gt;=60,"考核:丙",
            $D$13&gt;=50,"考核:丁",
            $D$13&gt;=1,"考核:戊"
        ),
        ""
    ),
    ""
)</f>
      </c>
      <c r="F13" s="29"/>
      <c r="G13" s="29"/>
      <c r="H13" s="29"/>
      <c r="I13" s="29"/>
      <c r="J13" s="29"/>
      <c r="K13" s="29"/>
    </row>
    <row r="14" ht="30" customHeight="1" spans="1:11" x14ac:dyDescent="0.25">
      <c r="A14" s="7"/>
      <c r="B14" s="17" t="s">
        <v>15</v>
      </c>
      <c r="C14" s="17"/>
      <c r="D14" s="17">
        <f>IFERROR(
        IF(
            INDEX(參數!$A:$D, MATCH(C2, 參數!$B:$B, 0), 4) = "員工",
            ROUND(SUM(F6*K6, F7*K7, F8*K8, F9*K9), 0),
            IF(
                INDEX(參數!$A:$D, MATCH(C2, 參數!$B:$B, 0), 4) = "主管",
                ROUND(SUM(F6*I6, F7*I7, F8*I8, F9*I9), 0),
                ""
            )
        ),
        ""
    )</f>
      </c>
      <c r="E14" s="28">
        <f t="array" ref="E14">IF(AND(ISNUMBER($D$14),$D$14&gt;0),
    IFERROR(
        _xlfn.IFS(
            $D$14&gt;=90,"績效:優",
            $D$14&gt;=80,"績效:甲",
            $D$14&gt;=70,"績效:乙",
            $D$14&gt;=60,"績效:丙",
            $D$14&gt;=50,"績效:丁",
            $D$14&gt;=1,"績效:戊"
        ),
        ""
    ),
    ""
)</f>
      </c>
      <c r="F14" s="29"/>
      <c r="G14" s="29"/>
      <c r="H14" s="29"/>
      <c r="I14" s="29"/>
      <c r="J14" s="29"/>
      <c r="K14" s="29"/>
    </row>
    <row r="15" ht="19.25" customHeight="1" spans="2:11" s="30" customFormat="1" x14ac:dyDescent="0.25">
      <c r="B15" s="31" t="s">
        <v>27</v>
      </c>
      <c r="C15" s="32"/>
      <c r="D15" s="32"/>
      <c r="E15" s="32"/>
      <c r="F15" s="33"/>
      <c r="G15" s="34"/>
      <c r="H15" s="5"/>
      <c r="I15" s="5"/>
      <c r="J15" s="5"/>
      <c r="K15" s="5"/>
    </row>
    <row r="16" spans="2:11" s="30" customFormat="1" x14ac:dyDescent="0.25">
      <c r="B16" s="31" t="s">
        <v>28</v>
      </c>
      <c r="C16" s="32"/>
      <c r="D16" s="32"/>
      <c r="E16" s="32"/>
      <c r="F16" s="34"/>
      <c r="G16" s="34"/>
      <c r="H16" s="5"/>
      <c r="I16" s="5"/>
      <c r="J16" s="5"/>
      <c r="K16" s="5"/>
    </row>
    <row r="17" spans="2:11" s="30" customFormat="1" x14ac:dyDescent="0.25">
      <c r="B17" s="31" t="s">
        <v>29</v>
      </c>
      <c r="C17" s="32"/>
      <c r="D17" s="32"/>
      <c r="E17" s="32"/>
      <c r="F17" s="34"/>
      <c r="G17" s="34"/>
      <c r="H17" s="5"/>
      <c r="I17" s="5"/>
      <c r="J17" s="5"/>
      <c r="K17" s="5"/>
    </row>
    <row r="18" spans="2:11" s="30" customFormat="1" x14ac:dyDescent="0.25">
      <c r="B18" s="31" t="s">
        <v>30</v>
      </c>
      <c r="C18" s="32"/>
      <c r="D18" s="32"/>
      <c r="E18" s="32"/>
      <c r="F18" s="34"/>
      <c r="G18" s="34"/>
      <c r="H18" s="5"/>
      <c r="I18" s="5"/>
      <c r="J18" s="5"/>
      <c r="K18" s="5"/>
    </row>
    <row r="19" spans="2:11" s="30" customFormat="1" x14ac:dyDescent="0.25">
      <c r="B19" s="31" t="s">
        <v>31</v>
      </c>
      <c r="C19" s="32"/>
      <c r="D19" s="32"/>
      <c r="E19" s="32"/>
      <c r="F19" s="34"/>
      <c r="G19" s="34"/>
      <c r="H19" s="5"/>
      <c r="I19" s="5"/>
      <c r="J19" s="5"/>
      <c r="K19" s="5"/>
    </row>
    <row r="20" spans="2:11" s="30" customFormat="1" x14ac:dyDescent="0.25">
      <c r="B20" s="31" t="s">
        <v>32</v>
      </c>
      <c r="C20" s="32"/>
      <c r="D20" s="32"/>
      <c r="E20" s="32"/>
      <c r="F20" s="34"/>
      <c r="G20" s="34"/>
      <c r="H20" s="5"/>
      <c r="I20" s="5"/>
      <c r="J20" s="5"/>
      <c r="K20" s="5"/>
    </row>
    <row r="21" spans="2:11" s="30" customFormat="1" x14ac:dyDescent="0.25">
      <c r="B21" s="31" t="s">
        <v>33</v>
      </c>
      <c r="C21" s="32"/>
      <c r="D21" s="32"/>
      <c r="E21" s="32"/>
      <c r="F21" s="34"/>
      <c r="G21" s="34"/>
      <c r="H21" s="5"/>
      <c r="I21" s="5"/>
      <c r="J21" s="5"/>
      <c r="K21" s="5"/>
    </row>
    <row r="22" spans="2:11" s="30" customFormat="1" x14ac:dyDescent="0.25">
      <c r="B22" s="31" t="s">
        <v>34</v>
      </c>
      <c r="C22" s="32"/>
      <c r="D22" s="32"/>
      <c r="E22" s="32"/>
      <c r="F22" s="34"/>
      <c r="G22" s="34"/>
      <c r="H22" s="5"/>
      <c r="I22" s="5"/>
      <c r="J22" s="5"/>
      <c r="K22" s="5"/>
    </row>
    <row r="23" spans="2:11" s="30" customFormat="1" x14ac:dyDescent="0.25">
      <c r="B23" s="31"/>
      <c r="C23" s="32"/>
      <c r="D23" s="32"/>
      <c r="E23" s="32"/>
      <c r="F23" s="34"/>
      <c r="G23" s="34"/>
      <c r="H23" s="5"/>
      <c r="I23" s="5"/>
      <c r="J23" s="5"/>
      <c r="K23" s="5"/>
    </row>
    <row r="24" spans="2:2" x14ac:dyDescent="0.25">
      <c r="B24" s="35"/>
    </row>
    <row r="25" spans="2:2" x14ac:dyDescent="0.25">
      <c r="B25" s="35"/>
    </row>
  </sheetData>
  <sheetProtection sheet="1" selectLockedCells="1" algorithmName="SHA-512" hashValue="z6zCyYO+1ixaDZfCcGvGJIQEqJqgx1RWV6GtNq/dvjTgKQ1HEyik1CfUF/1JD+pop7XfvfI3NONZRp9cwo0NeQ==" saltValue="FpK8v4x4U+Vjdl5hOO/uIw==" spinCount="100000"/>
  <mergeCells count="26">
    <mergeCell ref="B1:K1"/>
    <mergeCell ref="C2:E2"/>
    <mergeCell ref="F2:G2"/>
    <mergeCell ref="H2:K2"/>
    <mergeCell ref="C3:K3"/>
    <mergeCell ref="C4:G4"/>
    <mergeCell ref="H4:I4"/>
    <mergeCell ref="J4:K4"/>
    <mergeCell ref="C5:E5"/>
    <mergeCell ref="F5:G5"/>
    <mergeCell ref="C6:E6"/>
    <mergeCell ref="F6:G6"/>
    <mergeCell ref="C7:E7"/>
    <mergeCell ref="F7:G7"/>
    <mergeCell ref="C8:E8"/>
    <mergeCell ref="F8:G8"/>
    <mergeCell ref="C9:E9"/>
    <mergeCell ref="F9:G9"/>
    <mergeCell ref="B10:G10"/>
    <mergeCell ref="B11:K11"/>
    <mergeCell ref="B12:E12"/>
    <mergeCell ref="F12:K12"/>
    <mergeCell ref="B13:C13"/>
    <mergeCell ref="F13:K13"/>
    <mergeCell ref="B14:C14"/>
    <mergeCell ref="F14:K14"/>
  </mergeCells>
  <dataValidations count="2">
    <dataValidation type="whole" allowBlank="1" showInputMessage="1" prompt="請輸入0-100之間" showErrorMessage="1" error="請輸入0-100之間" sqref="F6">
      <formula1>0</formula1>
      <formula2>100</formula2>
    </dataValidation>
    <dataValidation type="whole" allowBlank="1" showInputMessage="1" showErrorMessage="1" error="請輸入0-100之間" sqref="F7:F9">
      <formula1>0</formula1>
      <formula2>100</formula2>
    </dataValidation>
  </dataValidations>
  <printOptions horizontalCentered="1"/>
  <pageMargins left="0.03937007874015748" right="0.03937007874015748" top="0.5511811023622047" bottom="0.7480314960629921" header="0.31496062992125984" footer="0.31496062992125984"/>
  <pageSetup paperSize="9" orientation="portrait" horizontalDpi="2147483648" verticalDpi="2147483648" scale="100" fitToWidth="1" fitToHeight="1" firstPageNumber="1" useFirstPageNumber="1" copies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5"/>
  <sheetViews>
    <sheetView workbookViewId="0" zoomScale="100" zoomScaleNormal="100">
      <selection activeCell="C3" sqref="C3"/>
    </sheetView>
  </sheetViews>
  <sheetFormatPr defaultRowHeight="15" outlineLevelRow="0" outlineLevelCol="0" x14ac:dyDescent="0" defaultColWidth="11.19921875"/>
  <cols>
    <col min="1" max="1" width="0.09765625" style="1" hidden="1" customWidth="1"/>
    <col min="2" max="2" width="16.69921875" style="2" customWidth="1"/>
    <col min="3" max="3" width="18.59765625" style="2" customWidth="1"/>
    <col min="4" max="4" width="5.5" style="2" hidden="1" customWidth="1"/>
    <col min="5" max="5" width="32" style="3" customWidth="1"/>
    <col min="6" max="6" width="4.69921875" style="4" customWidth="1"/>
    <col min="7" max="7" width="7.59765625" style="4" customWidth="1"/>
    <col min="8" max="10" width="6.59765625" style="5" customWidth="1"/>
    <col min="11" max="11" width="7.09765625" style="5" customWidth="1"/>
    <col min="12" max="16384" width="11.19921875" style="1" customWidth="1"/>
  </cols>
  <sheetData>
    <row r="1" ht="36.65" customHeight="1" spans="1:11" s="6" customFormat="1" x14ac:dyDescent="0.25">
      <c r="A1" s="7"/>
      <c r="B1" s="8" t="s">
        <v>0</v>
      </c>
      <c r="C1" s="9"/>
      <c r="D1" s="9"/>
      <c r="E1" s="9"/>
      <c r="F1" s="9"/>
      <c r="G1" s="9"/>
      <c r="H1" s="9"/>
      <c r="I1" s="9"/>
      <c r="J1" s="9"/>
      <c r="K1" s="10"/>
    </row>
    <row r="2" ht="35.25" customHeight="1" spans="1:11" x14ac:dyDescent="0.25">
      <c r="A2" s="7"/>
      <c r="B2" s="11" t="s">
        <v>1</v>
      </c>
      <c r="C2" s="11" t="s">
        <v>60</v>
      </c>
      <c r="D2" s="11"/>
      <c r="E2" s="11"/>
      <c r="F2" s="11" t="s">
        <v>3</v>
      </c>
      <c r="G2" s="11"/>
      <c r="H2" s="11" t="s">
        <v>61</v>
      </c>
      <c r="I2" s="11"/>
      <c r="J2" s="11"/>
      <c r="K2" s="11"/>
    </row>
    <row r="3" ht="58.9" customHeight="1" spans="1:11" x14ac:dyDescent="0.25">
      <c r="A3" s="7"/>
      <c r="B3" s="12" t="s">
        <v>5</v>
      </c>
      <c r="C3" s="13" t="s">
        <v>62</v>
      </c>
      <c r="D3" s="14"/>
      <c r="E3" s="14"/>
      <c r="F3" s="14"/>
      <c r="G3" s="14"/>
      <c r="H3" s="14"/>
      <c r="I3" s="14"/>
      <c r="J3" s="14"/>
      <c r="K3" s="15"/>
    </row>
    <row r="4" ht="35.25" customHeight="1" spans="1:11" x14ac:dyDescent="0.25">
      <c r="A4" s="7"/>
      <c r="B4" s="12" t="s">
        <v>7</v>
      </c>
      <c r="C4" s="12" t="s">
        <v>8</v>
      </c>
      <c r="D4" s="12"/>
      <c r="E4" s="12"/>
      <c r="F4" s="12"/>
      <c r="G4" s="12"/>
      <c r="H4" s="16" t="s">
        <v>9</v>
      </c>
      <c r="I4" s="16"/>
      <c r="J4" s="16" t="s">
        <v>10</v>
      </c>
      <c r="K4" s="16"/>
    </row>
    <row r="5" ht="30" customHeight="1" spans="1:11" x14ac:dyDescent="0.25">
      <c r="A5" s="7"/>
      <c r="B5" s="11" t="s">
        <v>11</v>
      </c>
      <c r="C5" s="17" t="s">
        <v>12</v>
      </c>
      <c r="D5" s="17"/>
      <c r="E5" s="17"/>
      <c r="F5" s="17" t="s">
        <v>13</v>
      </c>
      <c r="G5" s="17"/>
      <c r="H5" s="16" t="s">
        <v>14</v>
      </c>
      <c r="I5" s="16" t="s">
        <v>15</v>
      </c>
      <c r="J5" s="16" t="s">
        <v>14</v>
      </c>
      <c r="K5" s="16" t="s">
        <v>15</v>
      </c>
    </row>
    <row r="6" ht="64.5" customHeight="1" spans="1:11" x14ac:dyDescent="0.25">
      <c r="A6" s="7"/>
      <c r="B6" s="11" t="s">
        <v>16</v>
      </c>
      <c r="C6" s="18" t="s">
        <v>17</v>
      </c>
      <c r="D6" s="18"/>
      <c r="E6" s="18"/>
      <c r="F6" s="19"/>
      <c r="G6" s="19"/>
      <c r="H6" s="20">
        <v>0.3</v>
      </c>
      <c r="I6" s="20">
        <v>0.2</v>
      </c>
      <c r="J6" s="20">
        <v>0.3</v>
      </c>
      <c r="K6" s="20">
        <v>0.25</v>
      </c>
    </row>
    <row r="7" ht="81.15" customHeight="1" spans="1:11" x14ac:dyDescent="0.25">
      <c r="A7" s="7"/>
      <c r="B7" s="11" t="s">
        <v>18</v>
      </c>
      <c r="C7" s="18" t="s">
        <v>19</v>
      </c>
      <c r="D7" s="18"/>
      <c r="E7" s="18"/>
      <c r="F7" s="19"/>
      <c r="G7" s="19"/>
      <c r="H7" s="20">
        <v>0.3</v>
      </c>
      <c r="I7" s="20">
        <v>0.2</v>
      </c>
      <c r="J7" s="20">
        <v>0.4</v>
      </c>
      <c r="K7" s="20">
        <v>0.25</v>
      </c>
    </row>
    <row r="8" ht="53.4" customHeight="1" spans="1:11" x14ac:dyDescent="0.25">
      <c r="A8" s="7"/>
      <c r="B8" s="11" t="s">
        <v>20</v>
      </c>
      <c r="C8" s="21" t="s">
        <v>21</v>
      </c>
      <c r="D8" s="22"/>
      <c r="E8" s="18"/>
      <c r="F8" s="19"/>
      <c r="G8" s="19"/>
      <c r="H8" s="20">
        <v>0.1</v>
      </c>
      <c r="I8" s="20">
        <v>0.1</v>
      </c>
      <c r="J8" s="20">
        <v>0</v>
      </c>
      <c r="K8" s="20">
        <v>0</v>
      </c>
    </row>
    <row r="9" ht="40.25" customHeight="1" spans="1:11" x14ac:dyDescent="0.25">
      <c r="A9" s="7"/>
      <c r="B9" s="11" t="s">
        <v>22</v>
      </c>
      <c r="C9" s="18" t="s">
        <v>23</v>
      </c>
      <c r="D9" s="18"/>
      <c r="E9" s="18"/>
      <c r="F9" s="19"/>
      <c r="G9" s="19"/>
      <c r="H9" s="20">
        <v>0.3</v>
      </c>
      <c r="I9" s="20">
        <v>0.5</v>
      </c>
      <c r="J9" s="20">
        <v>0.3</v>
      </c>
      <c r="K9" s="20">
        <v>0.5</v>
      </c>
    </row>
    <row r="10" ht="50.4" customHeight="1" spans="1:11" x14ac:dyDescent="0.25">
      <c r="A10" s="7"/>
      <c r="B10" s="23" t="s">
        <v>24</v>
      </c>
      <c r="C10" s="23"/>
      <c r="D10" s="23"/>
      <c r="E10" s="24"/>
      <c r="F10" s="24"/>
      <c r="G10" s="24"/>
      <c r="H10" s="20">
        <f>SUM(H6:H9)</f>
      </c>
      <c r="I10" s="20">
        <f>SUM(I6:I9)</f>
      </c>
      <c r="J10" s="20">
        <f>SUM(J6:J9)</f>
      </c>
      <c r="K10" s="20">
        <f>SUM(K6:K9)</f>
      </c>
    </row>
    <row r="11" ht="43.25" customHeight="1" spans="1:11" x14ac:dyDescent="0.25">
      <c r="A11" s="7"/>
      <c r="B11" s="25"/>
      <c r="C11" s="26"/>
      <c r="D11" s="26"/>
      <c r="E11" s="26"/>
      <c r="F11" s="26"/>
      <c r="G11" s="26"/>
      <c r="H11" s="26"/>
      <c r="I11" s="26"/>
      <c r="J11" s="26"/>
      <c r="K11" s="27"/>
    </row>
    <row r="12" ht="31.75" customHeight="1" spans="1:11" x14ac:dyDescent="0.25">
      <c r="A12" s="7"/>
      <c r="B12" s="17" t="s">
        <v>25</v>
      </c>
      <c r="C12" s="17"/>
      <c r="D12" s="17"/>
      <c r="E12" s="17"/>
      <c r="F12" s="17" t="s">
        <v>26</v>
      </c>
      <c r="G12" s="17"/>
      <c r="H12" s="17"/>
      <c r="I12" s="17"/>
      <c r="J12" s="17"/>
      <c r="K12" s="17"/>
    </row>
    <row r="13" ht="30" customHeight="1" spans="1:11" x14ac:dyDescent="0.25">
      <c r="A13" s="7"/>
      <c r="B13" s="17" t="s">
        <v>14</v>
      </c>
      <c r="C13" s="17"/>
      <c r="D13" s="17">
        <f>IFERROR(
            IF(
                INDEX(參數!$A:$D, MATCH(C2, 參數!$B:$B, 0), 4) = "員工",
                ROUND(SUM(F6*J6, F7*J7, F8*J8, F9*J9), 0),
                IF(
                    INDEX(參數!$A:$D, MATCH(C2, 參數!$B:$B, 0), 4) = "主管",
                    ROUND(SUM(F6*H6, F7*H7, F8*H8, F9*H9), 0),
                    ""
                )
            ),
            ""
        )</f>
      </c>
      <c r="E13" s="28">
        <f t="array" ref="E13">IF(AND(ISNUMBER($D$13),$D$13&gt;0),
    IFERROR(
        _xlfn.IFS(
            $D$13&gt;=90,"考核:優",
            $D$13&gt;=80,"考核:甲",
            $D$13&gt;=70,"考核:乙",
            $D$13&gt;=60,"考核:丙",
            $D$13&gt;=50,"考核:丁",
            $D$13&gt;=1,"考核:戊"
        ),
        ""
    ),
    ""
)</f>
      </c>
      <c r="F13" s="29"/>
      <c r="G13" s="29"/>
      <c r="H13" s="29"/>
      <c r="I13" s="29"/>
      <c r="J13" s="29"/>
      <c r="K13" s="29"/>
    </row>
    <row r="14" ht="30" customHeight="1" spans="1:11" x14ac:dyDescent="0.25">
      <c r="A14" s="7"/>
      <c r="B14" s="17" t="s">
        <v>15</v>
      </c>
      <c r="C14" s="17"/>
      <c r="D14" s="17">
        <f>IFERROR(
        IF(
            INDEX(參數!$A:$D, MATCH(C2, 參數!$B:$B, 0), 4) = "員工",
            ROUND(SUM(F6*K6, F7*K7, F8*K8, F9*K9), 0),
            IF(
                INDEX(參數!$A:$D, MATCH(C2, 參數!$B:$B, 0), 4) = "主管",
                ROUND(SUM(F6*I6, F7*I7, F8*I8, F9*I9), 0),
                ""
            )
        ),
        ""
    )</f>
      </c>
      <c r="E14" s="28">
        <f t="array" ref="E14">IF(AND(ISNUMBER($D$14),$D$14&gt;0),
    IFERROR(
        _xlfn.IFS(
            $D$14&gt;=90,"績效:優",
            $D$14&gt;=80,"績效:甲",
            $D$14&gt;=70,"績效:乙",
            $D$14&gt;=60,"績效:丙",
            $D$14&gt;=50,"績效:丁",
            $D$14&gt;=1,"績效:戊"
        ),
        ""
    ),
    ""
)</f>
      </c>
      <c r="F14" s="29"/>
      <c r="G14" s="29"/>
      <c r="H14" s="29"/>
      <c r="I14" s="29"/>
      <c r="J14" s="29"/>
      <c r="K14" s="29"/>
    </row>
    <row r="15" ht="19.25" customHeight="1" spans="2:11" s="30" customFormat="1" x14ac:dyDescent="0.25">
      <c r="B15" s="31" t="s">
        <v>27</v>
      </c>
      <c r="C15" s="32"/>
      <c r="D15" s="32"/>
      <c r="E15" s="32"/>
      <c r="F15" s="33"/>
      <c r="G15" s="34"/>
      <c r="H15" s="5"/>
      <c r="I15" s="5"/>
      <c r="J15" s="5"/>
      <c r="K15" s="5"/>
    </row>
    <row r="16" spans="2:11" s="30" customFormat="1" x14ac:dyDescent="0.25">
      <c r="B16" s="31" t="s">
        <v>28</v>
      </c>
      <c r="C16" s="32"/>
      <c r="D16" s="32"/>
      <c r="E16" s="32"/>
      <c r="F16" s="34"/>
      <c r="G16" s="34"/>
      <c r="H16" s="5"/>
      <c r="I16" s="5"/>
      <c r="J16" s="5"/>
      <c r="K16" s="5"/>
    </row>
    <row r="17" spans="2:11" s="30" customFormat="1" x14ac:dyDescent="0.25">
      <c r="B17" s="31" t="s">
        <v>29</v>
      </c>
      <c r="C17" s="32"/>
      <c r="D17" s="32"/>
      <c r="E17" s="32"/>
      <c r="F17" s="34"/>
      <c r="G17" s="34"/>
      <c r="H17" s="5"/>
      <c r="I17" s="5"/>
      <c r="J17" s="5"/>
      <c r="K17" s="5"/>
    </row>
    <row r="18" spans="2:11" s="30" customFormat="1" x14ac:dyDescent="0.25">
      <c r="B18" s="31" t="s">
        <v>30</v>
      </c>
      <c r="C18" s="32"/>
      <c r="D18" s="32"/>
      <c r="E18" s="32"/>
      <c r="F18" s="34"/>
      <c r="G18" s="34"/>
      <c r="H18" s="5"/>
      <c r="I18" s="5"/>
      <c r="J18" s="5"/>
      <c r="K18" s="5"/>
    </row>
    <row r="19" spans="2:11" s="30" customFormat="1" x14ac:dyDescent="0.25">
      <c r="B19" s="31" t="s">
        <v>31</v>
      </c>
      <c r="C19" s="32"/>
      <c r="D19" s="32"/>
      <c r="E19" s="32"/>
      <c r="F19" s="34"/>
      <c r="G19" s="34"/>
      <c r="H19" s="5"/>
      <c r="I19" s="5"/>
      <c r="J19" s="5"/>
      <c r="K19" s="5"/>
    </row>
    <row r="20" spans="2:11" s="30" customFormat="1" x14ac:dyDescent="0.25">
      <c r="B20" s="31" t="s">
        <v>32</v>
      </c>
      <c r="C20" s="32"/>
      <c r="D20" s="32"/>
      <c r="E20" s="32"/>
      <c r="F20" s="34"/>
      <c r="G20" s="34"/>
      <c r="H20" s="5"/>
      <c r="I20" s="5"/>
      <c r="J20" s="5"/>
      <c r="K20" s="5"/>
    </row>
    <row r="21" spans="2:11" s="30" customFormat="1" x14ac:dyDescent="0.25">
      <c r="B21" s="31" t="s">
        <v>33</v>
      </c>
      <c r="C21" s="32"/>
      <c r="D21" s="32"/>
      <c r="E21" s="32"/>
      <c r="F21" s="34"/>
      <c r="G21" s="34"/>
      <c r="H21" s="5"/>
      <c r="I21" s="5"/>
      <c r="J21" s="5"/>
      <c r="K21" s="5"/>
    </row>
    <row r="22" spans="2:11" s="30" customFormat="1" x14ac:dyDescent="0.25">
      <c r="B22" s="31" t="s">
        <v>34</v>
      </c>
      <c r="C22" s="32"/>
      <c r="D22" s="32"/>
      <c r="E22" s="32"/>
      <c r="F22" s="34"/>
      <c r="G22" s="34"/>
      <c r="H22" s="5"/>
      <c r="I22" s="5"/>
      <c r="J22" s="5"/>
      <c r="K22" s="5"/>
    </row>
    <row r="23" spans="2:11" s="30" customFormat="1" x14ac:dyDescent="0.25">
      <c r="B23" s="31"/>
      <c r="C23" s="32"/>
      <c r="D23" s="32"/>
      <c r="E23" s="32"/>
      <c r="F23" s="34"/>
      <c r="G23" s="34"/>
      <c r="H23" s="5"/>
      <c r="I23" s="5"/>
      <c r="J23" s="5"/>
      <c r="K23" s="5"/>
    </row>
    <row r="24" spans="2:2" x14ac:dyDescent="0.25">
      <c r="B24" s="35"/>
    </row>
    <row r="25" spans="2:2" x14ac:dyDescent="0.25">
      <c r="B25" s="35"/>
    </row>
  </sheetData>
  <sheetProtection sheet="1" selectLockedCells="1" algorithmName="SHA-512" hashValue="z6zCyYO+1ixaDZfCcGvGJIQEqJqgx1RWV6GtNq/dvjTgKQ1HEyik1CfUF/1JD+pop7XfvfI3NONZRp9cwo0NeQ==" saltValue="FpK8v4x4U+Vjdl5hOO/uIw==" spinCount="100000"/>
  <mergeCells count="26">
    <mergeCell ref="B1:K1"/>
    <mergeCell ref="C2:E2"/>
    <mergeCell ref="F2:G2"/>
    <mergeCell ref="H2:K2"/>
    <mergeCell ref="C3:K3"/>
    <mergeCell ref="C4:G4"/>
    <mergeCell ref="H4:I4"/>
    <mergeCell ref="J4:K4"/>
    <mergeCell ref="C5:E5"/>
    <mergeCell ref="F5:G5"/>
    <mergeCell ref="C6:E6"/>
    <mergeCell ref="F6:G6"/>
    <mergeCell ref="C7:E7"/>
    <mergeCell ref="F7:G7"/>
    <mergeCell ref="C8:E8"/>
    <mergeCell ref="F8:G8"/>
    <mergeCell ref="C9:E9"/>
    <mergeCell ref="F9:G9"/>
    <mergeCell ref="B10:G10"/>
    <mergeCell ref="B11:K11"/>
    <mergeCell ref="B12:E12"/>
    <mergeCell ref="F12:K12"/>
    <mergeCell ref="B13:C13"/>
    <mergeCell ref="F13:K13"/>
    <mergeCell ref="B14:C14"/>
    <mergeCell ref="F14:K14"/>
  </mergeCells>
  <dataValidations count="2">
    <dataValidation type="whole" allowBlank="1" showInputMessage="1" prompt="請輸入0-100之間" showErrorMessage="1" error="請輸入0-100之間" sqref="F6">
      <formula1>0</formula1>
      <formula2>100</formula2>
    </dataValidation>
    <dataValidation type="whole" allowBlank="1" showInputMessage="1" showErrorMessage="1" error="請輸入0-100之間" sqref="F7:F9">
      <formula1>0</formula1>
      <formula2>100</formula2>
    </dataValidation>
  </dataValidations>
  <printOptions horizontalCentered="1"/>
  <pageMargins left="0.03937007874015748" right="0.03937007874015748" top="0.5511811023622047" bottom="0.7480314960629921" header="0.31496062992125984" footer="0.31496062992125984"/>
  <pageSetup paperSize="9" orientation="portrait" horizontalDpi="2147483648" verticalDpi="2147483648" scale="100" fitToWidth="1" fitToHeight="1" firstPageNumber="1" useFirstPageNumber="1" copies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5"/>
  <sheetViews>
    <sheetView workbookViewId="0" zoomScale="100" zoomScaleNormal="100">
      <selection activeCell="C3" sqref="C3"/>
    </sheetView>
  </sheetViews>
  <sheetFormatPr defaultRowHeight="15" outlineLevelRow="0" outlineLevelCol="0" x14ac:dyDescent="0" defaultColWidth="11.19921875"/>
  <cols>
    <col min="1" max="1" width="0.09765625" style="1" hidden="1" customWidth="1"/>
    <col min="2" max="2" width="16.69921875" style="2" customWidth="1"/>
    <col min="3" max="3" width="18.59765625" style="2" customWidth="1"/>
    <col min="4" max="4" width="5.5" style="2" hidden="1" customWidth="1"/>
    <col min="5" max="5" width="32" style="3" customWidth="1"/>
    <col min="6" max="6" width="4.69921875" style="4" customWidth="1"/>
    <col min="7" max="7" width="7.59765625" style="4" customWidth="1"/>
    <col min="8" max="10" width="6.59765625" style="5" customWidth="1"/>
    <col min="11" max="11" width="7.09765625" style="5" customWidth="1"/>
    <col min="12" max="16384" width="11.19921875" style="1" customWidth="1"/>
  </cols>
  <sheetData>
    <row r="1" ht="36.65" customHeight="1" spans="1:11" s="6" customFormat="1" x14ac:dyDescent="0.25">
      <c r="A1" s="7"/>
      <c r="B1" s="8" t="s">
        <v>0</v>
      </c>
      <c r="C1" s="9"/>
      <c r="D1" s="9"/>
      <c r="E1" s="9"/>
      <c r="F1" s="9"/>
      <c r="G1" s="9"/>
      <c r="H1" s="9"/>
      <c r="I1" s="9"/>
      <c r="J1" s="9"/>
      <c r="K1" s="10"/>
    </row>
    <row r="2" ht="35.25" customHeight="1" spans="1:11" x14ac:dyDescent="0.25">
      <c r="A2" s="7"/>
      <c r="B2" s="11" t="s">
        <v>1</v>
      </c>
      <c r="C2" s="11" t="s">
        <v>63</v>
      </c>
      <c r="D2" s="11"/>
      <c r="E2" s="11"/>
      <c r="F2" s="11" t="s">
        <v>3</v>
      </c>
      <c r="G2" s="11"/>
      <c r="H2" s="11" t="s">
        <v>64</v>
      </c>
      <c r="I2" s="11"/>
      <c r="J2" s="11"/>
      <c r="K2" s="11"/>
    </row>
    <row r="3" ht="58.9" customHeight="1" spans="1:11" x14ac:dyDescent="0.25">
      <c r="A3" s="7"/>
      <c r="B3" s="12" t="s">
        <v>5</v>
      </c>
      <c r="C3" s="13" t="s">
        <v>65</v>
      </c>
      <c r="D3" s="14"/>
      <c r="E3" s="14"/>
      <c r="F3" s="14"/>
      <c r="G3" s="14"/>
      <c r="H3" s="14"/>
      <c r="I3" s="14"/>
      <c r="J3" s="14"/>
      <c r="K3" s="15"/>
    </row>
    <row r="4" ht="35.25" customHeight="1" spans="1:11" x14ac:dyDescent="0.25">
      <c r="A4" s="7"/>
      <c r="B4" s="12" t="s">
        <v>7</v>
      </c>
      <c r="C4" s="12" t="s">
        <v>8</v>
      </c>
      <c r="D4" s="12"/>
      <c r="E4" s="12"/>
      <c r="F4" s="12"/>
      <c r="G4" s="12"/>
      <c r="H4" s="16" t="s">
        <v>9</v>
      </c>
      <c r="I4" s="16"/>
      <c r="J4" s="16" t="s">
        <v>10</v>
      </c>
      <c r="K4" s="16"/>
    </row>
    <row r="5" ht="30" customHeight="1" spans="1:11" x14ac:dyDescent="0.25">
      <c r="A5" s="7"/>
      <c r="B5" s="11" t="s">
        <v>11</v>
      </c>
      <c r="C5" s="17" t="s">
        <v>12</v>
      </c>
      <c r="D5" s="17"/>
      <c r="E5" s="17"/>
      <c r="F5" s="17" t="s">
        <v>13</v>
      </c>
      <c r="G5" s="17"/>
      <c r="H5" s="16" t="s">
        <v>14</v>
      </c>
      <c r="I5" s="16" t="s">
        <v>15</v>
      </c>
      <c r="J5" s="16" t="s">
        <v>14</v>
      </c>
      <c r="K5" s="16" t="s">
        <v>15</v>
      </c>
    </row>
    <row r="6" ht="64.5" customHeight="1" spans="1:11" x14ac:dyDescent="0.25">
      <c r="A6" s="7"/>
      <c r="B6" s="11" t="s">
        <v>16</v>
      </c>
      <c r="C6" s="18" t="s">
        <v>17</v>
      </c>
      <c r="D6" s="18"/>
      <c r="E6" s="18"/>
      <c r="F6" s="19"/>
      <c r="G6" s="19"/>
      <c r="H6" s="20">
        <v>0.3</v>
      </c>
      <c r="I6" s="20">
        <v>0.2</v>
      </c>
      <c r="J6" s="20">
        <v>0.3</v>
      </c>
      <c r="K6" s="20">
        <v>0.25</v>
      </c>
    </row>
    <row r="7" ht="81.15" customHeight="1" spans="1:11" x14ac:dyDescent="0.25">
      <c r="A7" s="7"/>
      <c r="B7" s="11" t="s">
        <v>18</v>
      </c>
      <c r="C7" s="18" t="s">
        <v>19</v>
      </c>
      <c r="D7" s="18"/>
      <c r="E7" s="18"/>
      <c r="F7" s="19"/>
      <c r="G7" s="19"/>
      <c r="H7" s="20">
        <v>0.3</v>
      </c>
      <c r="I7" s="20">
        <v>0.2</v>
      </c>
      <c r="J7" s="20">
        <v>0.4</v>
      </c>
      <c r="K7" s="20">
        <v>0.25</v>
      </c>
    </row>
    <row r="8" ht="53.4" customHeight="1" spans="1:11" x14ac:dyDescent="0.25">
      <c r="A8" s="7"/>
      <c r="B8" s="11" t="s">
        <v>20</v>
      </c>
      <c r="C8" s="21" t="s">
        <v>21</v>
      </c>
      <c r="D8" s="22"/>
      <c r="E8" s="18"/>
      <c r="F8" s="19"/>
      <c r="G8" s="19"/>
      <c r="H8" s="20">
        <v>0.1</v>
      </c>
      <c r="I8" s="20">
        <v>0.1</v>
      </c>
      <c r="J8" s="20">
        <v>0</v>
      </c>
      <c r="K8" s="20">
        <v>0</v>
      </c>
    </row>
    <row r="9" ht="40.25" customHeight="1" spans="1:11" x14ac:dyDescent="0.25">
      <c r="A9" s="7"/>
      <c r="B9" s="11" t="s">
        <v>22</v>
      </c>
      <c r="C9" s="18" t="s">
        <v>23</v>
      </c>
      <c r="D9" s="18"/>
      <c r="E9" s="18"/>
      <c r="F9" s="19"/>
      <c r="G9" s="19"/>
      <c r="H9" s="20">
        <v>0.3</v>
      </c>
      <c r="I9" s="20">
        <v>0.5</v>
      </c>
      <c r="J9" s="20">
        <v>0.3</v>
      </c>
      <c r="K9" s="20">
        <v>0.5</v>
      </c>
    </row>
    <row r="10" ht="50.4" customHeight="1" spans="1:11" x14ac:dyDescent="0.25">
      <c r="A10" s="7"/>
      <c r="B10" s="23" t="s">
        <v>24</v>
      </c>
      <c r="C10" s="23"/>
      <c r="D10" s="23"/>
      <c r="E10" s="24"/>
      <c r="F10" s="24"/>
      <c r="G10" s="24"/>
      <c r="H10" s="20">
        <f>SUM(H6:H9)</f>
      </c>
      <c r="I10" s="20">
        <f>SUM(I6:I9)</f>
      </c>
      <c r="J10" s="20">
        <f>SUM(J6:J9)</f>
      </c>
      <c r="K10" s="20">
        <f>SUM(K6:K9)</f>
      </c>
    </row>
    <row r="11" ht="43.25" customHeight="1" spans="1:11" x14ac:dyDescent="0.25">
      <c r="A11" s="7"/>
      <c r="B11" s="25"/>
      <c r="C11" s="26"/>
      <c r="D11" s="26"/>
      <c r="E11" s="26"/>
      <c r="F11" s="26"/>
      <c r="G11" s="26"/>
      <c r="H11" s="26"/>
      <c r="I11" s="26"/>
      <c r="J11" s="26"/>
      <c r="K11" s="27"/>
    </row>
    <row r="12" ht="31.75" customHeight="1" spans="1:11" x14ac:dyDescent="0.25">
      <c r="A12" s="7"/>
      <c r="B12" s="17" t="s">
        <v>25</v>
      </c>
      <c r="C12" s="17"/>
      <c r="D12" s="17"/>
      <c r="E12" s="17"/>
      <c r="F12" s="17" t="s">
        <v>26</v>
      </c>
      <c r="G12" s="17"/>
      <c r="H12" s="17"/>
      <c r="I12" s="17"/>
      <c r="J12" s="17"/>
      <c r="K12" s="17"/>
    </row>
    <row r="13" ht="30" customHeight="1" spans="1:11" x14ac:dyDescent="0.25">
      <c r="A13" s="7"/>
      <c r="B13" s="17" t="s">
        <v>14</v>
      </c>
      <c r="C13" s="17"/>
      <c r="D13" s="17">
        <f>IFERROR(
            IF(
                INDEX(參數!$A:$D, MATCH(C2, 參數!$B:$B, 0), 4) = "員工",
                ROUND(SUM(F6*J6, F7*J7, F8*J8, F9*J9), 0),
                IF(
                    INDEX(參數!$A:$D, MATCH(C2, 參數!$B:$B, 0), 4) = "主管",
                    ROUND(SUM(F6*H6, F7*H7, F8*H8, F9*H9), 0),
                    ""
                )
            ),
            ""
        )</f>
      </c>
      <c r="E13" s="28">
        <f t="array" ref="E13">IF(AND(ISNUMBER($D$13),$D$13&gt;0),
    IFERROR(
        _xlfn.IFS(
            $D$13&gt;=90,"考核:優",
            $D$13&gt;=80,"考核:甲",
            $D$13&gt;=70,"考核:乙",
            $D$13&gt;=60,"考核:丙",
            $D$13&gt;=50,"考核:丁",
            $D$13&gt;=1,"考核:戊"
        ),
        ""
    ),
    ""
)</f>
      </c>
      <c r="F13" s="29"/>
      <c r="G13" s="29"/>
      <c r="H13" s="29"/>
      <c r="I13" s="29"/>
      <c r="J13" s="29"/>
      <c r="K13" s="29"/>
    </row>
    <row r="14" ht="30" customHeight="1" spans="1:11" x14ac:dyDescent="0.25">
      <c r="A14" s="7"/>
      <c r="B14" s="17" t="s">
        <v>15</v>
      </c>
      <c r="C14" s="17"/>
      <c r="D14" s="17">
        <f>IFERROR(
        IF(
            INDEX(參數!$A:$D, MATCH(C2, 參數!$B:$B, 0), 4) = "員工",
            ROUND(SUM(F6*K6, F7*K7, F8*K8, F9*K9), 0),
            IF(
                INDEX(參數!$A:$D, MATCH(C2, 參數!$B:$B, 0), 4) = "主管",
                ROUND(SUM(F6*I6, F7*I7, F8*I8, F9*I9), 0),
                ""
            )
        ),
        ""
    )</f>
      </c>
      <c r="E14" s="28">
        <f t="array" ref="E14">IF(AND(ISNUMBER($D$14),$D$14&gt;0),
    IFERROR(
        _xlfn.IFS(
            $D$14&gt;=90,"績效:優",
            $D$14&gt;=80,"績效:甲",
            $D$14&gt;=70,"績效:乙",
            $D$14&gt;=60,"績效:丙",
            $D$14&gt;=50,"績效:丁",
            $D$14&gt;=1,"績效:戊"
        ),
        ""
    ),
    ""
)</f>
      </c>
      <c r="F14" s="29"/>
      <c r="G14" s="29"/>
      <c r="H14" s="29"/>
      <c r="I14" s="29"/>
      <c r="J14" s="29"/>
      <c r="K14" s="29"/>
    </row>
    <row r="15" ht="19.25" customHeight="1" spans="2:11" s="30" customFormat="1" x14ac:dyDescent="0.25">
      <c r="B15" s="31" t="s">
        <v>27</v>
      </c>
      <c r="C15" s="32"/>
      <c r="D15" s="32"/>
      <c r="E15" s="32"/>
      <c r="F15" s="33"/>
      <c r="G15" s="34"/>
      <c r="H15" s="5"/>
      <c r="I15" s="5"/>
      <c r="J15" s="5"/>
      <c r="K15" s="5"/>
    </row>
    <row r="16" spans="2:11" s="30" customFormat="1" x14ac:dyDescent="0.25">
      <c r="B16" s="31" t="s">
        <v>28</v>
      </c>
      <c r="C16" s="32"/>
      <c r="D16" s="32"/>
      <c r="E16" s="32"/>
      <c r="F16" s="34"/>
      <c r="G16" s="34"/>
      <c r="H16" s="5"/>
      <c r="I16" s="5"/>
      <c r="J16" s="5"/>
      <c r="K16" s="5"/>
    </row>
    <row r="17" spans="2:11" s="30" customFormat="1" x14ac:dyDescent="0.25">
      <c r="B17" s="31" t="s">
        <v>29</v>
      </c>
      <c r="C17" s="32"/>
      <c r="D17" s="32"/>
      <c r="E17" s="32"/>
      <c r="F17" s="34"/>
      <c r="G17" s="34"/>
      <c r="H17" s="5"/>
      <c r="I17" s="5"/>
      <c r="J17" s="5"/>
      <c r="K17" s="5"/>
    </row>
    <row r="18" spans="2:11" s="30" customFormat="1" x14ac:dyDescent="0.25">
      <c r="B18" s="31" t="s">
        <v>30</v>
      </c>
      <c r="C18" s="32"/>
      <c r="D18" s="32"/>
      <c r="E18" s="32"/>
      <c r="F18" s="34"/>
      <c r="G18" s="34"/>
      <c r="H18" s="5"/>
      <c r="I18" s="5"/>
      <c r="J18" s="5"/>
      <c r="K18" s="5"/>
    </row>
    <row r="19" spans="2:11" s="30" customFormat="1" x14ac:dyDescent="0.25">
      <c r="B19" s="31" t="s">
        <v>31</v>
      </c>
      <c r="C19" s="32"/>
      <c r="D19" s="32"/>
      <c r="E19" s="32"/>
      <c r="F19" s="34"/>
      <c r="G19" s="34"/>
      <c r="H19" s="5"/>
      <c r="I19" s="5"/>
      <c r="J19" s="5"/>
      <c r="K19" s="5"/>
    </row>
    <row r="20" spans="2:11" s="30" customFormat="1" x14ac:dyDescent="0.25">
      <c r="B20" s="31" t="s">
        <v>32</v>
      </c>
      <c r="C20" s="32"/>
      <c r="D20" s="32"/>
      <c r="E20" s="32"/>
      <c r="F20" s="34"/>
      <c r="G20" s="34"/>
      <c r="H20" s="5"/>
      <c r="I20" s="5"/>
      <c r="J20" s="5"/>
      <c r="K20" s="5"/>
    </row>
    <row r="21" spans="2:11" s="30" customFormat="1" x14ac:dyDescent="0.25">
      <c r="B21" s="31" t="s">
        <v>33</v>
      </c>
      <c r="C21" s="32"/>
      <c r="D21" s="32"/>
      <c r="E21" s="32"/>
      <c r="F21" s="34"/>
      <c r="G21" s="34"/>
      <c r="H21" s="5"/>
      <c r="I21" s="5"/>
      <c r="J21" s="5"/>
      <c r="K21" s="5"/>
    </row>
    <row r="22" spans="2:11" s="30" customFormat="1" x14ac:dyDescent="0.25">
      <c r="B22" s="31" t="s">
        <v>34</v>
      </c>
      <c r="C22" s="32"/>
      <c r="D22" s="32"/>
      <c r="E22" s="32"/>
      <c r="F22" s="34"/>
      <c r="G22" s="34"/>
      <c r="H22" s="5"/>
      <c r="I22" s="5"/>
      <c r="J22" s="5"/>
      <c r="K22" s="5"/>
    </row>
    <row r="23" spans="2:11" s="30" customFormat="1" x14ac:dyDescent="0.25">
      <c r="B23" s="31"/>
      <c r="C23" s="32"/>
      <c r="D23" s="32"/>
      <c r="E23" s="32"/>
      <c r="F23" s="34"/>
      <c r="G23" s="34"/>
      <c r="H23" s="5"/>
      <c r="I23" s="5"/>
      <c r="J23" s="5"/>
      <c r="K23" s="5"/>
    </row>
    <row r="24" spans="2:2" x14ac:dyDescent="0.25">
      <c r="B24" s="35"/>
    </row>
    <row r="25" spans="2:2" x14ac:dyDescent="0.25">
      <c r="B25" s="35"/>
    </row>
  </sheetData>
  <sheetProtection sheet="1" selectLockedCells="1" algorithmName="SHA-512" hashValue="z6zCyYO+1ixaDZfCcGvGJIQEqJqgx1RWV6GtNq/dvjTgKQ1HEyik1CfUF/1JD+pop7XfvfI3NONZRp9cwo0NeQ==" saltValue="FpK8v4x4U+Vjdl5hOO/uIw==" spinCount="100000"/>
  <mergeCells count="26">
    <mergeCell ref="B1:K1"/>
    <mergeCell ref="C2:E2"/>
    <mergeCell ref="F2:G2"/>
    <mergeCell ref="H2:K2"/>
    <mergeCell ref="C3:K3"/>
    <mergeCell ref="C4:G4"/>
    <mergeCell ref="H4:I4"/>
    <mergeCell ref="J4:K4"/>
    <mergeCell ref="C5:E5"/>
    <mergeCell ref="F5:G5"/>
    <mergeCell ref="C6:E6"/>
    <mergeCell ref="F6:G6"/>
    <mergeCell ref="C7:E7"/>
    <mergeCell ref="F7:G7"/>
    <mergeCell ref="C8:E8"/>
    <mergeCell ref="F8:G8"/>
    <mergeCell ref="C9:E9"/>
    <mergeCell ref="F9:G9"/>
    <mergeCell ref="B10:G10"/>
    <mergeCell ref="B11:K11"/>
    <mergeCell ref="B12:E12"/>
    <mergeCell ref="F12:K12"/>
    <mergeCell ref="B13:C13"/>
    <mergeCell ref="F13:K13"/>
    <mergeCell ref="B14:C14"/>
    <mergeCell ref="F14:K14"/>
  </mergeCells>
  <dataValidations count="2">
    <dataValidation type="whole" allowBlank="1" showInputMessage="1" prompt="請輸入0-100之間" showErrorMessage="1" error="請輸入0-100之間" sqref="F6">
      <formula1>0</formula1>
      <formula2>100</formula2>
    </dataValidation>
    <dataValidation type="whole" allowBlank="1" showInputMessage="1" showErrorMessage="1" error="請輸入0-100之間" sqref="F7:F9">
      <formula1>0</formula1>
      <formula2>100</formula2>
    </dataValidation>
  </dataValidations>
  <printOptions horizontalCentered="1"/>
  <pageMargins left="0.03937007874015748" right="0.03937007874015748" top="0.5511811023622047" bottom="0.7480314960629921" header="0.31496062992125984" footer="0.31496062992125984"/>
  <pageSetup paperSize="9" orientation="portrait" horizontalDpi="2147483648" verticalDpi="2147483648" scale="100" fitToWidth="1" fitToHeight="1" firstPageNumber="1" useFirstPageNumber="1" copies="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5"/>
  <sheetViews>
    <sheetView workbookViewId="0" zoomScale="100" zoomScaleNormal="100">
      <selection activeCell="C3" sqref="C3"/>
    </sheetView>
  </sheetViews>
  <sheetFormatPr defaultRowHeight="15" outlineLevelRow="0" outlineLevelCol="0" x14ac:dyDescent="0" defaultColWidth="11.19921875"/>
  <cols>
    <col min="1" max="1" width="0.09765625" style="1" hidden="1" customWidth="1"/>
    <col min="2" max="2" width="16.69921875" style="2" customWidth="1"/>
    <col min="3" max="3" width="18.59765625" style="2" customWidth="1"/>
    <col min="4" max="4" width="5.5" style="2" hidden="1" customWidth="1"/>
    <col min="5" max="5" width="32" style="3" customWidth="1"/>
    <col min="6" max="6" width="4.69921875" style="4" customWidth="1"/>
    <col min="7" max="7" width="7.59765625" style="4" customWidth="1"/>
    <col min="8" max="10" width="6.59765625" style="5" customWidth="1"/>
    <col min="11" max="11" width="7.09765625" style="5" customWidth="1"/>
    <col min="12" max="16384" width="11.19921875" style="1" customWidth="1"/>
  </cols>
  <sheetData>
    <row r="1" ht="36.65" customHeight="1" spans="1:11" s="6" customFormat="1" x14ac:dyDescent="0.25">
      <c r="A1" s="7"/>
      <c r="B1" s="8" t="s">
        <v>0</v>
      </c>
      <c r="C1" s="9"/>
      <c r="D1" s="9"/>
      <c r="E1" s="9"/>
      <c r="F1" s="9"/>
      <c r="G1" s="9"/>
      <c r="H1" s="9"/>
      <c r="I1" s="9"/>
      <c r="J1" s="9"/>
      <c r="K1" s="10"/>
    </row>
    <row r="2" ht="35.25" customHeight="1" spans="1:11" x14ac:dyDescent="0.25">
      <c r="A2" s="7"/>
      <c r="B2" s="11" t="s">
        <v>1</v>
      </c>
      <c r="C2" s="11" t="s">
        <v>66</v>
      </c>
      <c r="D2" s="11"/>
      <c r="E2" s="11"/>
      <c r="F2" s="11" t="s">
        <v>3</v>
      </c>
      <c r="G2" s="11"/>
      <c r="H2" s="11" t="s">
        <v>64</v>
      </c>
      <c r="I2" s="11"/>
      <c r="J2" s="11"/>
      <c r="K2" s="11"/>
    </row>
    <row r="3" ht="58.9" customHeight="1" spans="1:11" x14ac:dyDescent="0.25">
      <c r="A3" s="7"/>
      <c r="B3" s="12" t="s">
        <v>5</v>
      </c>
      <c r="C3" s="13" t="s">
        <v>67</v>
      </c>
      <c r="D3" s="14"/>
      <c r="E3" s="14"/>
      <c r="F3" s="14"/>
      <c r="G3" s="14"/>
      <c r="H3" s="14"/>
      <c r="I3" s="14"/>
      <c r="J3" s="14"/>
      <c r="K3" s="15"/>
    </row>
    <row r="4" ht="35.25" customHeight="1" spans="1:11" x14ac:dyDescent="0.25">
      <c r="A4" s="7"/>
      <c r="B4" s="12" t="s">
        <v>7</v>
      </c>
      <c r="C4" s="12" t="s">
        <v>8</v>
      </c>
      <c r="D4" s="12"/>
      <c r="E4" s="12"/>
      <c r="F4" s="12"/>
      <c r="G4" s="12"/>
      <c r="H4" s="16" t="s">
        <v>9</v>
      </c>
      <c r="I4" s="16"/>
      <c r="J4" s="16" t="s">
        <v>10</v>
      </c>
      <c r="K4" s="16"/>
    </row>
    <row r="5" ht="30" customHeight="1" spans="1:11" x14ac:dyDescent="0.25">
      <c r="A5" s="7"/>
      <c r="B5" s="11" t="s">
        <v>11</v>
      </c>
      <c r="C5" s="17" t="s">
        <v>12</v>
      </c>
      <c r="D5" s="17"/>
      <c r="E5" s="17"/>
      <c r="F5" s="17" t="s">
        <v>13</v>
      </c>
      <c r="G5" s="17"/>
      <c r="H5" s="16" t="s">
        <v>14</v>
      </c>
      <c r="I5" s="16" t="s">
        <v>15</v>
      </c>
      <c r="J5" s="16" t="s">
        <v>14</v>
      </c>
      <c r="K5" s="16" t="s">
        <v>15</v>
      </c>
    </row>
    <row r="6" ht="64.5" customHeight="1" spans="1:11" x14ac:dyDescent="0.25">
      <c r="A6" s="7"/>
      <c r="B6" s="11" t="s">
        <v>16</v>
      </c>
      <c r="C6" s="18" t="s">
        <v>17</v>
      </c>
      <c r="D6" s="18"/>
      <c r="E6" s="18"/>
      <c r="F6" s="19"/>
      <c r="G6" s="19"/>
      <c r="H6" s="20">
        <v>0.3</v>
      </c>
      <c r="I6" s="20">
        <v>0.2</v>
      </c>
      <c r="J6" s="20">
        <v>0.3</v>
      </c>
      <c r="K6" s="20">
        <v>0.25</v>
      </c>
    </row>
    <row r="7" ht="81.15" customHeight="1" spans="1:11" x14ac:dyDescent="0.25">
      <c r="A7" s="7"/>
      <c r="B7" s="11" t="s">
        <v>18</v>
      </c>
      <c r="C7" s="18" t="s">
        <v>19</v>
      </c>
      <c r="D7" s="18"/>
      <c r="E7" s="18"/>
      <c r="F7" s="19"/>
      <c r="G7" s="19"/>
      <c r="H7" s="20">
        <v>0.3</v>
      </c>
      <c r="I7" s="20">
        <v>0.2</v>
      </c>
      <c r="J7" s="20">
        <v>0.4</v>
      </c>
      <c r="K7" s="20">
        <v>0.25</v>
      </c>
    </row>
    <row r="8" ht="53.4" customHeight="1" spans="1:11" x14ac:dyDescent="0.25">
      <c r="A8" s="7"/>
      <c r="B8" s="11" t="s">
        <v>20</v>
      </c>
      <c r="C8" s="21" t="s">
        <v>21</v>
      </c>
      <c r="D8" s="22"/>
      <c r="E8" s="18"/>
      <c r="F8" s="19"/>
      <c r="G8" s="19"/>
      <c r="H8" s="20">
        <v>0.1</v>
      </c>
      <c r="I8" s="20">
        <v>0.1</v>
      </c>
      <c r="J8" s="20">
        <v>0</v>
      </c>
      <c r="K8" s="20">
        <v>0</v>
      </c>
    </row>
    <row r="9" ht="40.25" customHeight="1" spans="1:11" x14ac:dyDescent="0.25">
      <c r="A9" s="7"/>
      <c r="B9" s="11" t="s">
        <v>22</v>
      </c>
      <c r="C9" s="18" t="s">
        <v>23</v>
      </c>
      <c r="D9" s="18"/>
      <c r="E9" s="18"/>
      <c r="F9" s="19"/>
      <c r="G9" s="19"/>
      <c r="H9" s="20">
        <v>0.3</v>
      </c>
      <c r="I9" s="20">
        <v>0.5</v>
      </c>
      <c r="J9" s="20">
        <v>0.3</v>
      </c>
      <c r="K9" s="20">
        <v>0.5</v>
      </c>
    </row>
    <row r="10" ht="50.4" customHeight="1" spans="1:11" x14ac:dyDescent="0.25">
      <c r="A10" s="7"/>
      <c r="B10" s="23" t="s">
        <v>24</v>
      </c>
      <c r="C10" s="23"/>
      <c r="D10" s="23"/>
      <c r="E10" s="24"/>
      <c r="F10" s="24"/>
      <c r="G10" s="24"/>
      <c r="H10" s="20">
        <f>SUM(H6:H9)</f>
      </c>
      <c r="I10" s="20">
        <f>SUM(I6:I9)</f>
      </c>
      <c r="J10" s="20">
        <f>SUM(J6:J9)</f>
      </c>
      <c r="K10" s="20">
        <f>SUM(K6:K9)</f>
      </c>
    </row>
    <row r="11" ht="43.25" customHeight="1" spans="1:11" x14ac:dyDescent="0.25">
      <c r="A11" s="7"/>
      <c r="B11" s="25"/>
      <c r="C11" s="26"/>
      <c r="D11" s="26"/>
      <c r="E11" s="26"/>
      <c r="F11" s="26"/>
      <c r="G11" s="26"/>
      <c r="H11" s="26"/>
      <c r="I11" s="26"/>
      <c r="J11" s="26"/>
      <c r="K11" s="27"/>
    </row>
    <row r="12" ht="31.75" customHeight="1" spans="1:11" x14ac:dyDescent="0.25">
      <c r="A12" s="7"/>
      <c r="B12" s="17" t="s">
        <v>25</v>
      </c>
      <c r="C12" s="17"/>
      <c r="D12" s="17"/>
      <c r="E12" s="17"/>
      <c r="F12" s="17" t="s">
        <v>26</v>
      </c>
      <c r="G12" s="17"/>
      <c r="H12" s="17"/>
      <c r="I12" s="17"/>
      <c r="J12" s="17"/>
      <c r="K12" s="17"/>
    </row>
    <row r="13" ht="30" customHeight="1" spans="1:11" x14ac:dyDescent="0.25">
      <c r="A13" s="7"/>
      <c r="B13" s="17" t="s">
        <v>14</v>
      </c>
      <c r="C13" s="17"/>
      <c r="D13" s="17">
        <f>IFERROR(
            IF(
                INDEX(參數!$A:$D, MATCH(C2, 參數!$B:$B, 0), 4) = "員工",
                ROUND(SUM(F6*J6, F7*J7, F8*J8, F9*J9), 0),
                IF(
                    INDEX(參數!$A:$D, MATCH(C2, 參數!$B:$B, 0), 4) = "主管",
                    ROUND(SUM(F6*H6, F7*H7, F8*H8, F9*H9), 0),
                    ""
                )
            ),
            ""
        )</f>
      </c>
      <c r="E13" s="28">
        <f t="array" ref="E13">IF(AND(ISNUMBER($D$13),$D$13&gt;0),
    IFERROR(
        _xlfn.IFS(
            $D$13&gt;=90,"考核:優",
            $D$13&gt;=80,"考核:甲",
            $D$13&gt;=70,"考核:乙",
            $D$13&gt;=60,"考核:丙",
            $D$13&gt;=50,"考核:丁",
            $D$13&gt;=1,"考核:戊"
        ),
        ""
    ),
    ""
)</f>
      </c>
      <c r="F13" s="29"/>
      <c r="G13" s="29"/>
      <c r="H13" s="29"/>
      <c r="I13" s="29"/>
      <c r="J13" s="29"/>
      <c r="K13" s="29"/>
    </row>
    <row r="14" ht="30" customHeight="1" spans="1:11" x14ac:dyDescent="0.25">
      <c r="A14" s="7"/>
      <c r="B14" s="17" t="s">
        <v>15</v>
      </c>
      <c r="C14" s="17"/>
      <c r="D14" s="17">
        <f>IFERROR(
        IF(
            INDEX(參數!$A:$D, MATCH(C2, 參數!$B:$B, 0), 4) = "員工",
            ROUND(SUM(F6*K6, F7*K7, F8*K8, F9*K9), 0),
            IF(
                INDEX(參數!$A:$D, MATCH(C2, 參數!$B:$B, 0), 4) = "主管",
                ROUND(SUM(F6*I6, F7*I7, F8*I8, F9*I9), 0),
                ""
            )
        ),
        ""
    )</f>
      </c>
      <c r="E14" s="28">
        <f t="array" ref="E14">IF(AND(ISNUMBER($D$14),$D$14&gt;0),
    IFERROR(
        _xlfn.IFS(
            $D$14&gt;=90,"績效:優",
            $D$14&gt;=80,"績效:甲",
            $D$14&gt;=70,"績效:乙",
            $D$14&gt;=60,"績效:丙",
            $D$14&gt;=50,"績效:丁",
            $D$14&gt;=1,"績效:戊"
        ),
        ""
    ),
    ""
)</f>
      </c>
      <c r="F14" s="29"/>
      <c r="G14" s="29"/>
      <c r="H14" s="29"/>
      <c r="I14" s="29"/>
      <c r="J14" s="29"/>
      <c r="K14" s="29"/>
    </row>
    <row r="15" ht="19.25" customHeight="1" spans="2:11" s="30" customFormat="1" x14ac:dyDescent="0.25">
      <c r="B15" s="31" t="s">
        <v>27</v>
      </c>
      <c r="C15" s="32"/>
      <c r="D15" s="32"/>
      <c r="E15" s="32"/>
      <c r="F15" s="33"/>
      <c r="G15" s="34"/>
      <c r="H15" s="5"/>
      <c r="I15" s="5"/>
      <c r="J15" s="5"/>
      <c r="K15" s="5"/>
    </row>
    <row r="16" spans="2:11" s="30" customFormat="1" x14ac:dyDescent="0.25">
      <c r="B16" s="31" t="s">
        <v>28</v>
      </c>
      <c r="C16" s="32"/>
      <c r="D16" s="32"/>
      <c r="E16" s="32"/>
      <c r="F16" s="34"/>
      <c r="G16" s="34"/>
      <c r="H16" s="5"/>
      <c r="I16" s="5"/>
      <c r="J16" s="5"/>
      <c r="K16" s="5"/>
    </row>
    <row r="17" spans="2:11" s="30" customFormat="1" x14ac:dyDescent="0.25">
      <c r="B17" s="31" t="s">
        <v>29</v>
      </c>
      <c r="C17" s="32"/>
      <c r="D17" s="32"/>
      <c r="E17" s="32"/>
      <c r="F17" s="34"/>
      <c r="G17" s="34"/>
      <c r="H17" s="5"/>
      <c r="I17" s="5"/>
      <c r="J17" s="5"/>
      <c r="K17" s="5"/>
    </row>
    <row r="18" spans="2:11" s="30" customFormat="1" x14ac:dyDescent="0.25">
      <c r="B18" s="31" t="s">
        <v>30</v>
      </c>
      <c r="C18" s="32"/>
      <c r="D18" s="32"/>
      <c r="E18" s="32"/>
      <c r="F18" s="34"/>
      <c r="G18" s="34"/>
      <c r="H18" s="5"/>
      <c r="I18" s="5"/>
      <c r="J18" s="5"/>
      <c r="K18" s="5"/>
    </row>
    <row r="19" spans="2:11" s="30" customFormat="1" x14ac:dyDescent="0.25">
      <c r="B19" s="31" t="s">
        <v>31</v>
      </c>
      <c r="C19" s="32"/>
      <c r="D19" s="32"/>
      <c r="E19" s="32"/>
      <c r="F19" s="34"/>
      <c r="G19" s="34"/>
      <c r="H19" s="5"/>
      <c r="I19" s="5"/>
      <c r="J19" s="5"/>
      <c r="K19" s="5"/>
    </row>
    <row r="20" spans="2:11" s="30" customFormat="1" x14ac:dyDescent="0.25">
      <c r="B20" s="31" t="s">
        <v>32</v>
      </c>
      <c r="C20" s="32"/>
      <c r="D20" s="32"/>
      <c r="E20" s="32"/>
      <c r="F20" s="34"/>
      <c r="G20" s="34"/>
      <c r="H20" s="5"/>
      <c r="I20" s="5"/>
      <c r="J20" s="5"/>
      <c r="K20" s="5"/>
    </row>
    <row r="21" spans="2:11" s="30" customFormat="1" x14ac:dyDescent="0.25">
      <c r="B21" s="31" t="s">
        <v>33</v>
      </c>
      <c r="C21" s="32"/>
      <c r="D21" s="32"/>
      <c r="E21" s="32"/>
      <c r="F21" s="34"/>
      <c r="G21" s="34"/>
      <c r="H21" s="5"/>
      <c r="I21" s="5"/>
      <c r="J21" s="5"/>
      <c r="K21" s="5"/>
    </row>
    <row r="22" spans="2:11" s="30" customFormat="1" x14ac:dyDescent="0.25">
      <c r="B22" s="31" t="s">
        <v>34</v>
      </c>
      <c r="C22" s="32"/>
      <c r="D22" s="32"/>
      <c r="E22" s="32"/>
      <c r="F22" s="34"/>
      <c r="G22" s="34"/>
      <c r="H22" s="5"/>
      <c r="I22" s="5"/>
      <c r="J22" s="5"/>
      <c r="K22" s="5"/>
    </row>
    <row r="23" spans="2:11" s="30" customFormat="1" x14ac:dyDescent="0.25">
      <c r="B23" s="31"/>
      <c r="C23" s="32"/>
      <c r="D23" s="32"/>
      <c r="E23" s="32"/>
      <c r="F23" s="34"/>
      <c r="G23" s="34"/>
      <c r="H23" s="5"/>
      <c r="I23" s="5"/>
      <c r="J23" s="5"/>
      <c r="K23" s="5"/>
    </row>
    <row r="24" spans="2:2" x14ac:dyDescent="0.25">
      <c r="B24" s="35"/>
    </row>
    <row r="25" spans="2:2" x14ac:dyDescent="0.25">
      <c r="B25" s="35"/>
    </row>
  </sheetData>
  <sheetProtection sheet="1" selectLockedCells="1" algorithmName="SHA-512" hashValue="z6zCyYO+1ixaDZfCcGvGJIQEqJqgx1RWV6GtNq/dvjTgKQ1HEyik1CfUF/1JD+pop7XfvfI3NONZRp9cwo0NeQ==" saltValue="FpK8v4x4U+Vjdl5hOO/uIw==" spinCount="100000"/>
  <mergeCells count="26">
    <mergeCell ref="B1:K1"/>
    <mergeCell ref="C2:E2"/>
    <mergeCell ref="F2:G2"/>
    <mergeCell ref="H2:K2"/>
    <mergeCell ref="C3:K3"/>
    <mergeCell ref="C4:G4"/>
    <mergeCell ref="H4:I4"/>
    <mergeCell ref="J4:K4"/>
    <mergeCell ref="C5:E5"/>
    <mergeCell ref="F5:G5"/>
    <mergeCell ref="C6:E6"/>
    <mergeCell ref="F6:G6"/>
    <mergeCell ref="C7:E7"/>
    <mergeCell ref="F7:G7"/>
    <mergeCell ref="C8:E8"/>
    <mergeCell ref="F8:G8"/>
    <mergeCell ref="C9:E9"/>
    <mergeCell ref="F9:G9"/>
    <mergeCell ref="B10:G10"/>
    <mergeCell ref="B11:K11"/>
    <mergeCell ref="B12:E12"/>
    <mergeCell ref="F12:K12"/>
    <mergeCell ref="B13:C13"/>
    <mergeCell ref="F13:K13"/>
    <mergeCell ref="B14:C14"/>
    <mergeCell ref="F14:K14"/>
  </mergeCells>
  <dataValidations count="2">
    <dataValidation type="whole" allowBlank="1" showInputMessage="1" prompt="請輸入0-100之間" showErrorMessage="1" error="請輸入0-100之間" sqref="F6">
      <formula1>0</formula1>
      <formula2>100</formula2>
    </dataValidation>
    <dataValidation type="whole" allowBlank="1" showInputMessage="1" showErrorMessage="1" error="請輸入0-100之間" sqref="F7:F9">
      <formula1>0</formula1>
      <formula2>100</formula2>
    </dataValidation>
  </dataValidations>
  <printOptions horizontalCentered="1"/>
  <pageMargins left="0.03937007874015748" right="0.03937007874015748" top="0.5511811023622047" bottom="0.7480314960629921" header="0.31496062992125984" footer="0.31496062992125984"/>
  <pageSetup paperSize="9" orientation="portrait" horizontalDpi="2147483648" verticalDpi="2147483648" scale="100" fitToWidth="1" fitToHeight="1" firstPageNumber="1" useFirstPageNumber="1" copies="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5"/>
  <sheetViews>
    <sheetView workbookViewId="0" zoomScale="100" zoomScaleNormal="100">
      <selection activeCell="C3" sqref="C3"/>
    </sheetView>
  </sheetViews>
  <sheetFormatPr defaultRowHeight="15" outlineLevelRow="0" outlineLevelCol="0" x14ac:dyDescent="0" defaultColWidth="11.19921875"/>
  <cols>
    <col min="1" max="1" width="0.09765625" style="1" hidden="1" customWidth="1"/>
    <col min="2" max="2" width="16.69921875" style="2" customWidth="1"/>
    <col min="3" max="3" width="18.59765625" style="2" customWidth="1"/>
    <col min="4" max="4" width="5.5" style="2" hidden="1" customWidth="1"/>
    <col min="5" max="5" width="32" style="3" customWidth="1"/>
    <col min="6" max="6" width="4.69921875" style="4" customWidth="1"/>
    <col min="7" max="7" width="7.59765625" style="4" customWidth="1"/>
    <col min="8" max="10" width="6.59765625" style="5" customWidth="1"/>
    <col min="11" max="11" width="7.09765625" style="5" customWidth="1"/>
    <col min="12" max="16384" width="11.19921875" style="1" customWidth="1"/>
  </cols>
  <sheetData>
    <row r="1" ht="36.65" customHeight="1" spans="1:11" s="6" customFormat="1" x14ac:dyDescent="0.25">
      <c r="A1" s="7"/>
      <c r="B1" s="8" t="s">
        <v>0</v>
      </c>
      <c r="C1" s="9"/>
      <c r="D1" s="9"/>
      <c r="E1" s="9"/>
      <c r="F1" s="9"/>
      <c r="G1" s="9"/>
      <c r="H1" s="9"/>
      <c r="I1" s="9"/>
      <c r="J1" s="9"/>
      <c r="K1" s="10"/>
    </row>
    <row r="2" ht="35.25" customHeight="1" spans="1:11" x14ac:dyDescent="0.25">
      <c r="A2" s="7"/>
      <c r="B2" s="11" t="s">
        <v>1</v>
      </c>
      <c r="C2" s="11" t="s">
        <v>68</v>
      </c>
      <c r="D2" s="11"/>
      <c r="E2" s="11"/>
      <c r="F2" s="11" t="s">
        <v>3</v>
      </c>
      <c r="G2" s="11"/>
      <c r="H2" s="11" t="s">
        <v>69</v>
      </c>
      <c r="I2" s="11"/>
      <c r="J2" s="11"/>
      <c r="K2" s="11"/>
    </row>
    <row r="3" ht="58.9" customHeight="1" spans="1:11" x14ac:dyDescent="0.25">
      <c r="A3" s="7"/>
      <c r="B3" s="12" t="s">
        <v>5</v>
      </c>
      <c r="C3" s="13" t="s">
        <v>36</v>
      </c>
      <c r="D3" s="14"/>
      <c r="E3" s="14"/>
      <c r="F3" s="14"/>
      <c r="G3" s="14"/>
      <c r="H3" s="14"/>
      <c r="I3" s="14"/>
      <c r="J3" s="14"/>
      <c r="K3" s="15"/>
    </row>
    <row r="4" ht="35.25" customHeight="1" spans="1:11" x14ac:dyDescent="0.25">
      <c r="A4" s="7"/>
      <c r="B4" s="12" t="s">
        <v>7</v>
      </c>
      <c r="C4" s="12" t="s">
        <v>8</v>
      </c>
      <c r="D4" s="12"/>
      <c r="E4" s="12"/>
      <c r="F4" s="12"/>
      <c r="G4" s="12"/>
      <c r="H4" s="16" t="s">
        <v>9</v>
      </c>
      <c r="I4" s="16"/>
      <c r="J4" s="16" t="s">
        <v>10</v>
      </c>
      <c r="K4" s="16"/>
    </row>
    <row r="5" ht="30" customHeight="1" spans="1:11" x14ac:dyDescent="0.25">
      <c r="A5" s="7"/>
      <c r="B5" s="11" t="s">
        <v>11</v>
      </c>
      <c r="C5" s="17" t="s">
        <v>12</v>
      </c>
      <c r="D5" s="17"/>
      <c r="E5" s="17"/>
      <c r="F5" s="17" t="s">
        <v>13</v>
      </c>
      <c r="G5" s="17"/>
      <c r="H5" s="16" t="s">
        <v>14</v>
      </c>
      <c r="I5" s="16" t="s">
        <v>15</v>
      </c>
      <c r="J5" s="16" t="s">
        <v>14</v>
      </c>
      <c r="K5" s="16" t="s">
        <v>15</v>
      </c>
    </row>
    <row r="6" ht="64.5" customHeight="1" spans="1:11" x14ac:dyDescent="0.25">
      <c r="A6" s="7"/>
      <c r="B6" s="11" t="s">
        <v>16</v>
      </c>
      <c r="C6" s="18" t="s">
        <v>17</v>
      </c>
      <c r="D6" s="18"/>
      <c r="E6" s="18"/>
      <c r="F6" s="19"/>
      <c r="G6" s="19"/>
      <c r="H6" s="20">
        <v>0.3</v>
      </c>
      <c r="I6" s="20">
        <v>0.2</v>
      </c>
      <c r="J6" s="20">
        <v>0.3</v>
      </c>
      <c r="K6" s="20">
        <v>0.25</v>
      </c>
    </row>
    <row r="7" ht="81.15" customHeight="1" spans="1:11" x14ac:dyDescent="0.25">
      <c r="A7" s="7"/>
      <c r="B7" s="11" t="s">
        <v>18</v>
      </c>
      <c r="C7" s="18" t="s">
        <v>19</v>
      </c>
      <c r="D7" s="18"/>
      <c r="E7" s="18"/>
      <c r="F7" s="19"/>
      <c r="G7" s="19"/>
      <c r="H7" s="20">
        <v>0.3</v>
      </c>
      <c r="I7" s="20">
        <v>0.2</v>
      </c>
      <c r="J7" s="20">
        <v>0.4</v>
      </c>
      <c r="K7" s="20">
        <v>0.25</v>
      </c>
    </row>
    <row r="8" ht="53.4" customHeight="1" spans="1:11" x14ac:dyDescent="0.25">
      <c r="A8" s="7"/>
      <c r="B8" s="11" t="s">
        <v>20</v>
      </c>
      <c r="C8" s="21" t="s">
        <v>21</v>
      </c>
      <c r="D8" s="22"/>
      <c r="E8" s="18"/>
      <c r="F8" s="19"/>
      <c r="G8" s="19"/>
      <c r="H8" s="20">
        <v>0.1</v>
      </c>
      <c r="I8" s="20">
        <v>0.1</v>
      </c>
      <c r="J8" s="20">
        <v>0</v>
      </c>
      <c r="K8" s="20">
        <v>0</v>
      </c>
    </row>
    <row r="9" ht="40.25" customHeight="1" spans="1:11" x14ac:dyDescent="0.25">
      <c r="A9" s="7"/>
      <c r="B9" s="11" t="s">
        <v>22</v>
      </c>
      <c r="C9" s="18" t="s">
        <v>23</v>
      </c>
      <c r="D9" s="18"/>
      <c r="E9" s="18"/>
      <c r="F9" s="19"/>
      <c r="G9" s="19"/>
      <c r="H9" s="20">
        <v>0.3</v>
      </c>
      <c r="I9" s="20">
        <v>0.5</v>
      </c>
      <c r="J9" s="20">
        <v>0.3</v>
      </c>
      <c r="K9" s="20">
        <v>0.5</v>
      </c>
    </row>
    <row r="10" ht="50.4" customHeight="1" spans="1:11" x14ac:dyDescent="0.25">
      <c r="A10" s="7"/>
      <c r="B10" s="23" t="s">
        <v>24</v>
      </c>
      <c r="C10" s="23"/>
      <c r="D10" s="23"/>
      <c r="E10" s="24"/>
      <c r="F10" s="24"/>
      <c r="G10" s="24"/>
      <c r="H10" s="20">
        <f>SUM(H6:H9)</f>
      </c>
      <c r="I10" s="20">
        <f>SUM(I6:I9)</f>
      </c>
      <c r="J10" s="20">
        <f>SUM(J6:J9)</f>
      </c>
      <c r="K10" s="20">
        <f>SUM(K6:K9)</f>
      </c>
    </row>
    <row r="11" ht="43.25" customHeight="1" spans="1:11" x14ac:dyDescent="0.25">
      <c r="A11" s="7"/>
      <c r="B11" s="25"/>
      <c r="C11" s="26"/>
      <c r="D11" s="26"/>
      <c r="E11" s="26"/>
      <c r="F11" s="26"/>
      <c r="G11" s="26"/>
      <c r="H11" s="26"/>
      <c r="I11" s="26"/>
      <c r="J11" s="26"/>
      <c r="K11" s="27"/>
    </row>
    <row r="12" ht="31.75" customHeight="1" spans="1:11" x14ac:dyDescent="0.25">
      <c r="A12" s="7"/>
      <c r="B12" s="17" t="s">
        <v>25</v>
      </c>
      <c r="C12" s="17"/>
      <c r="D12" s="17"/>
      <c r="E12" s="17"/>
      <c r="F12" s="17" t="s">
        <v>26</v>
      </c>
      <c r="G12" s="17"/>
      <c r="H12" s="17"/>
      <c r="I12" s="17"/>
      <c r="J12" s="17"/>
      <c r="K12" s="17"/>
    </row>
    <row r="13" ht="30" customHeight="1" spans="1:11" x14ac:dyDescent="0.25">
      <c r="A13" s="7"/>
      <c r="B13" s="17" t="s">
        <v>14</v>
      </c>
      <c r="C13" s="17"/>
      <c r="D13" s="17">
        <f>IFERROR(
            IF(
                INDEX(參數!$A:$D, MATCH(C2, 參數!$B:$B, 0), 4) = "員工",
                ROUND(SUM(F6*J6, F7*J7, F8*J8, F9*J9), 0),
                IF(
                    INDEX(參數!$A:$D, MATCH(C2, 參數!$B:$B, 0), 4) = "主管",
                    ROUND(SUM(F6*H6, F7*H7, F8*H8, F9*H9), 0),
                    ""
                )
            ),
            ""
        )</f>
      </c>
      <c r="E13" s="28">
        <f t="array" ref="E13">IF(AND(ISNUMBER($D$13),$D$13&gt;0),
    IFERROR(
        _xlfn.IFS(
            $D$13&gt;=90,"考核:優",
            $D$13&gt;=80,"考核:甲",
            $D$13&gt;=70,"考核:乙",
            $D$13&gt;=60,"考核:丙",
            $D$13&gt;=50,"考核:丁",
            $D$13&gt;=1,"考核:戊"
        ),
        ""
    ),
    ""
)</f>
      </c>
      <c r="F13" s="29"/>
      <c r="G13" s="29"/>
      <c r="H13" s="29"/>
      <c r="I13" s="29"/>
      <c r="J13" s="29"/>
      <c r="K13" s="29"/>
    </row>
    <row r="14" ht="30" customHeight="1" spans="1:11" x14ac:dyDescent="0.25">
      <c r="A14" s="7"/>
      <c r="B14" s="17" t="s">
        <v>15</v>
      </c>
      <c r="C14" s="17"/>
      <c r="D14" s="17">
        <f>IFERROR(
        IF(
            INDEX(參數!$A:$D, MATCH(C2, 參數!$B:$B, 0), 4) = "員工",
            ROUND(SUM(F6*K6, F7*K7, F8*K8, F9*K9), 0),
            IF(
                INDEX(參數!$A:$D, MATCH(C2, 參數!$B:$B, 0), 4) = "主管",
                ROUND(SUM(F6*I6, F7*I7, F8*I8, F9*I9), 0),
                ""
            )
        ),
        ""
    )</f>
      </c>
      <c r="E14" s="28">
        <f t="array" ref="E14">IF(AND(ISNUMBER($D$14),$D$14&gt;0),
    IFERROR(
        _xlfn.IFS(
            $D$14&gt;=90,"績效:優",
            $D$14&gt;=80,"績效:甲",
            $D$14&gt;=70,"績效:乙",
            $D$14&gt;=60,"績效:丙",
            $D$14&gt;=50,"績效:丁",
            $D$14&gt;=1,"績效:戊"
        ),
        ""
    ),
    ""
)</f>
      </c>
      <c r="F14" s="29"/>
      <c r="G14" s="29"/>
      <c r="H14" s="29"/>
      <c r="I14" s="29"/>
      <c r="J14" s="29"/>
      <c r="K14" s="29"/>
    </row>
    <row r="15" ht="19.25" customHeight="1" spans="2:11" s="30" customFormat="1" x14ac:dyDescent="0.25">
      <c r="B15" s="31" t="s">
        <v>27</v>
      </c>
      <c r="C15" s="32"/>
      <c r="D15" s="32"/>
      <c r="E15" s="32"/>
      <c r="F15" s="33"/>
      <c r="G15" s="34"/>
      <c r="H15" s="5"/>
      <c r="I15" s="5"/>
      <c r="J15" s="5"/>
      <c r="K15" s="5"/>
    </row>
    <row r="16" spans="2:11" s="30" customFormat="1" x14ac:dyDescent="0.25">
      <c r="B16" s="31" t="s">
        <v>28</v>
      </c>
      <c r="C16" s="32"/>
      <c r="D16" s="32"/>
      <c r="E16" s="32"/>
      <c r="F16" s="34"/>
      <c r="G16" s="34"/>
      <c r="H16" s="5"/>
      <c r="I16" s="5"/>
      <c r="J16" s="5"/>
      <c r="K16" s="5"/>
    </row>
    <row r="17" spans="2:11" s="30" customFormat="1" x14ac:dyDescent="0.25">
      <c r="B17" s="31" t="s">
        <v>29</v>
      </c>
      <c r="C17" s="32"/>
      <c r="D17" s="32"/>
      <c r="E17" s="32"/>
      <c r="F17" s="34"/>
      <c r="G17" s="34"/>
      <c r="H17" s="5"/>
      <c r="I17" s="5"/>
      <c r="J17" s="5"/>
      <c r="K17" s="5"/>
    </row>
    <row r="18" spans="2:11" s="30" customFormat="1" x14ac:dyDescent="0.25">
      <c r="B18" s="31" t="s">
        <v>30</v>
      </c>
      <c r="C18" s="32"/>
      <c r="D18" s="32"/>
      <c r="E18" s="32"/>
      <c r="F18" s="34"/>
      <c r="G18" s="34"/>
      <c r="H18" s="5"/>
      <c r="I18" s="5"/>
      <c r="J18" s="5"/>
      <c r="K18" s="5"/>
    </row>
    <row r="19" spans="2:11" s="30" customFormat="1" x14ac:dyDescent="0.25">
      <c r="B19" s="31" t="s">
        <v>31</v>
      </c>
      <c r="C19" s="32"/>
      <c r="D19" s="32"/>
      <c r="E19" s="32"/>
      <c r="F19" s="34"/>
      <c r="G19" s="34"/>
      <c r="H19" s="5"/>
      <c r="I19" s="5"/>
      <c r="J19" s="5"/>
      <c r="K19" s="5"/>
    </row>
    <row r="20" spans="2:11" s="30" customFormat="1" x14ac:dyDescent="0.25">
      <c r="B20" s="31" t="s">
        <v>32</v>
      </c>
      <c r="C20" s="32"/>
      <c r="D20" s="32"/>
      <c r="E20" s="32"/>
      <c r="F20" s="34"/>
      <c r="G20" s="34"/>
      <c r="H20" s="5"/>
      <c r="I20" s="5"/>
      <c r="J20" s="5"/>
      <c r="K20" s="5"/>
    </row>
    <row r="21" spans="2:11" s="30" customFormat="1" x14ac:dyDescent="0.25">
      <c r="B21" s="31" t="s">
        <v>33</v>
      </c>
      <c r="C21" s="32"/>
      <c r="D21" s="32"/>
      <c r="E21" s="32"/>
      <c r="F21" s="34"/>
      <c r="G21" s="34"/>
      <c r="H21" s="5"/>
      <c r="I21" s="5"/>
      <c r="J21" s="5"/>
      <c r="K21" s="5"/>
    </row>
    <row r="22" spans="2:11" s="30" customFormat="1" x14ac:dyDescent="0.25">
      <c r="B22" s="31" t="s">
        <v>34</v>
      </c>
      <c r="C22" s="32"/>
      <c r="D22" s="32"/>
      <c r="E22" s="32"/>
      <c r="F22" s="34"/>
      <c r="G22" s="34"/>
      <c r="H22" s="5"/>
      <c r="I22" s="5"/>
      <c r="J22" s="5"/>
      <c r="K22" s="5"/>
    </row>
    <row r="23" spans="2:11" s="30" customFormat="1" x14ac:dyDescent="0.25">
      <c r="B23" s="31"/>
      <c r="C23" s="32"/>
      <c r="D23" s="32"/>
      <c r="E23" s="32"/>
      <c r="F23" s="34"/>
      <c r="G23" s="34"/>
      <c r="H23" s="5"/>
      <c r="I23" s="5"/>
      <c r="J23" s="5"/>
      <c r="K23" s="5"/>
    </row>
    <row r="24" spans="2:2" x14ac:dyDescent="0.25">
      <c r="B24" s="35"/>
    </row>
    <row r="25" spans="2:2" x14ac:dyDescent="0.25">
      <c r="B25" s="35"/>
    </row>
  </sheetData>
  <sheetProtection sheet="1" selectLockedCells="1" algorithmName="SHA-512" hashValue="z6zCyYO+1ixaDZfCcGvGJIQEqJqgx1RWV6GtNq/dvjTgKQ1HEyik1CfUF/1JD+pop7XfvfI3NONZRp9cwo0NeQ==" saltValue="FpK8v4x4U+Vjdl5hOO/uIw==" spinCount="100000"/>
  <mergeCells count="26">
    <mergeCell ref="B1:K1"/>
    <mergeCell ref="C2:E2"/>
    <mergeCell ref="F2:G2"/>
    <mergeCell ref="H2:K2"/>
    <mergeCell ref="C3:K3"/>
    <mergeCell ref="C4:G4"/>
    <mergeCell ref="H4:I4"/>
    <mergeCell ref="J4:K4"/>
    <mergeCell ref="C5:E5"/>
    <mergeCell ref="F5:G5"/>
    <mergeCell ref="C6:E6"/>
    <mergeCell ref="F6:G6"/>
    <mergeCell ref="C7:E7"/>
    <mergeCell ref="F7:G7"/>
    <mergeCell ref="C8:E8"/>
    <mergeCell ref="F8:G8"/>
    <mergeCell ref="C9:E9"/>
    <mergeCell ref="F9:G9"/>
    <mergeCell ref="B10:G10"/>
    <mergeCell ref="B11:K11"/>
    <mergeCell ref="B12:E12"/>
    <mergeCell ref="F12:K12"/>
    <mergeCell ref="B13:C13"/>
    <mergeCell ref="F13:K13"/>
    <mergeCell ref="B14:C14"/>
    <mergeCell ref="F14:K14"/>
  </mergeCells>
  <dataValidations count="2">
    <dataValidation type="whole" allowBlank="1" showInputMessage="1" prompt="請輸入0-100之間" showErrorMessage="1" error="請輸入0-100之間" sqref="F6">
      <formula1>0</formula1>
      <formula2>100</formula2>
    </dataValidation>
    <dataValidation type="whole" allowBlank="1" showInputMessage="1" showErrorMessage="1" error="請輸入0-100之間" sqref="F7:F9">
      <formula1>0</formula1>
      <formula2>100</formula2>
    </dataValidation>
  </dataValidations>
  <printOptions horizontalCentered="1"/>
  <pageMargins left="0.03937007874015748" right="0.03937007874015748" top="0.5511811023622047" bottom="0.7480314960629921" header="0.31496062992125984" footer="0.31496062992125984"/>
  <pageSetup paperSize="9" orientation="portrait" horizontalDpi="2147483648" verticalDpi="2147483648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黃祈雯</vt:lpstr>
      <vt:lpstr>陳志清</vt:lpstr>
      <vt:lpstr>陳玉芳</vt:lpstr>
      <vt:lpstr>高傳和</vt:lpstr>
      <vt:lpstr>林建興</vt:lpstr>
      <vt:lpstr>許展彰</vt:lpstr>
      <vt:lpstr>林溪河</vt:lpstr>
      <vt:lpstr>許淑如</vt:lpstr>
      <vt:lpstr>洪玉映</vt:lpstr>
      <vt:lpstr>黃湧淇</vt:lpstr>
      <vt:lpstr>黃明田</vt:lpstr>
      <vt:lpstr>吳素顏</vt:lpstr>
      <vt:lpstr>黃姿菁</vt:lpstr>
      <vt:lpstr>沈宗儒</vt:lpstr>
      <vt:lpstr>林威任</vt:lpstr>
      <vt:lpstr>參數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Jason Chen</cp:lastModifiedBy>
  <cp:lastPrinted>2024-12-06T04:35:50Z</cp:lastPrinted>
  <dcterms:created xsi:type="dcterms:W3CDTF">2015-06-05T18:19:34Z</dcterms:created>
  <dcterms:modified xsi:type="dcterms:W3CDTF">2026-06-03T13:02:31Z</dcterms:modified>
</cp:coreProperties>
</file>