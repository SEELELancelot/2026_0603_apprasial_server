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黃文聯" sheetId="1" state="visible" r:id="rId1"/>
    <sheet name="黃甲棋" sheetId="2" state="visible" r:id="rId2"/>
    <sheet name="謝宜賀" sheetId="3" state="visible" r:id="rId3"/>
    <sheet name="王曉婕" sheetId="4" state="visible" r:id="rId4"/>
    <sheet name="洪勻婕" sheetId="5" state="visible" r:id="rId5"/>
    <sheet name="陳玉玲" sheetId="6" state="visible" r:id="rId6"/>
    <sheet name="參數" sheetId="7" state="hidden" r:id="rId7"/>
  </sheets>
  <calcPr/>
</workbook>
</file>

<file path=xl/sharedStrings.xml><?xml version="1.0" encoding="utf-8"?>
<sst xmlns="http://schemas.openxmlformats.org/spreadsheetml/2006/main" count="54" uniqueCount="54">
  <si>
    <t>113年度彰化區漁會年終考核/績效成績表</t>
  </si>
  <si>
    <t>姓名</t>
  </si>
  <si>
    <t>黃文聯</t>
  </si>
  <si>
    <t>服務部門</t>
  </si>
  <si>
    <t>大城分部</t>
  </si>
  <si>
    <t>工作內容(必填)</t>
  </si>
  <si>
    <t>會計業務、代收票、甲存開戶申請、聯徵勾稽、輔助AML定期覆審及交易監控之作業、裝鈔、台灣pay特約商店送件</t>
  </si>
  <si>
    <t>考核期間</t>
  </si>
  <si>
    <t>113年O1月至12月</t>
  </si>
  <si>
    <t>主管</t>
  </si>
  <si>
    <t>員工</t>
  </si>
  <si>
    <t xml:space="preserve">考 核 項 目</t>
  </si>
  <si>
    <t>考核內容</t>
  </si>
  <si>
    <t>分數(0~100)</t>
  </si>
  <si>
    <t>考核</t>
  </si>
  <si>
    <t>績效</t>
  </si>
  <si>
    <t xml:space="preserve">工作知能及
公文績效</t>
  </si>
  <si>
    <r>
      <rPr>
        <sz val="11"/>
        <rFont val="標楷體"/>
      </rPr>
      <t>嫻熟工作相關專業知識，對於承辦業務能提出具體改進措施，或簡化工作流程，提升效能效率，增進工作績效</t>
    </r>
    <r>
      <rPr>
        <sz val="11"/>
        <color theme="1"/>
        <rFont val="標楷體"/>
      </rPr>
      <t>。公文處理均能掌握品質及時效，臨時交辦案件亦能依限完成。</t>
    </r>
  </si>
  <si>
    <t>服務態度、工作積極及品德操守</t>
  </si>
  <si>
    <t xml:space="preserve">負責盡職，積極辦理業務，落實顧客導向，提升服務品質。發揮團隊精神，對於工作與職務調整，及與他人協調合作，能優先考量組織目標之達成。
公正和藹，保守秘密，謹慎勤勉，誠實廉潔，無奢侈、放蕩、冶遊、賭博及其他有害聲譽之行為。</t>
  </si>
  <si>
    <r>
      <rPr>
        <sz val="11"/>
        <rFont val="標楷體"/>
      </rPr>
      <t xml:space="preserve">領導協調
能力</t>
    </r>
    <r>
      <rPr>
        <sz val="11"/>
        <color indexed="2"/>
        <rFont val="標楷體"/>
      </rPr>
      <t xml:space="preserve">(主管職務)   </t>
    </r>
  </si>
  <si>
    <t>具判斷決策溝通協調能力，並能傳授知識、經驗、技能，適當指導同仁，且經常檢討工作計畫執行情形，達成預定績效目標。</t>
  </si>
  <si>
    <t>年度目標達成度</t>
  </si>
  <si>
    <r>
      <rPr>
        <sz val="11"/>
        <color rgb="FF0070C0"/>
        <rFont val="標楷體"/>
      </rPr>
      <t>達成漁會訂定之目標值或成效</t>
    </r>
    <r>
      <rPr>
        <sz val="11"/>
        <color theme="1"/>
        <rFont val="標楷體"/>
      </rPr>
      <t>，如期完成或較預定進度超前，充分達成計畫目標，績效卓著。</t>
    </r>
  </si>
  <si>
    <r>
      <rPr>
        <sz val="11"/>
        <rFont val="標楷體"/>
      </rPr>
      <t xml:space="preserve">個人重大具體優劣事蹟(受考人如有工作、操行、學識、才能等重大具體優劣事蹟，足資紀錄者，應填於本欄 ，以作為考評之重要參據。)
或</t>
    </r>
    <r>
      <rPr>
        <sz val="11"/>
        <color indexed="2"/>
        <rFont val="標楷體"/>
      </rPr>
      <t>主管評定優等或丙等(含)以下應加敘事由或事蹟</t>
    </r>
  </si>
  <si>
    <t xml:space="preserve">單位主管評定等級及分數 (請簽章)</t>
  </si>
  <si>
    <t xml:space="preserve">總幹事綜合考評 (請簽章)</t>
  </si>
  <si>
    <r>
      <rPr/>
      <t xml:space="preserve">附註 :  一</t>
    </r>
    <r>
      <rPr>
        <sz val="6"/>
        <color theme="1"/>
        <rFont val="微軟正黑體"/>
      </rPr>
      <t xml:space="preserve">  </t>
    </r>
    <r>
      <rPr>
        <sz val="11"/>
        <color theme="1"/>
        <rFont val="微軟正黑體"/>
      </rPr>
      <t>、依據漁會人事管理辦法第54條規定訂定，但各漁會得視業務特性及需要自行訂定。</t>
    </r>
  </si>
  <si>
    <t xml:space="preserve">           二 、平時考核紀錄等級分為6級，平時考核紀錄等級分述如下:</t>
  </si>
  <si>
    <t xml:space="preserve">                    優:90-99(表現優異，足為同仁表率。)</t>
  </si>
  <si>
    <t xml:space="preserve">                    甲:80-89(表現明顯地超出該職責的要求水準。)</t>
  </si>
  <si>
    <t xml:space="preserve">                    乙:70-79(表現均能達到要求水準。)</t>
  </si>
  <si>
    <t xml:space="preserve">                    丙:60-69(表現未盡符合基本要求。)</t>
  </si>
  <si>
    <t xml:space="preserve">                    丁:50-59(表現多未達基本要求，經勸導仍未改進者。)</t>
  </si>
  <si>
    <t xml:space="preserve">                    戊:40-49(無故曠工。)</t>
  </si>
  <si>
    <t>黃甲棋</t>
  </si>
  <si>
    <t xml:space="preserve">授信業務 (含對保、撥款、收息、火險續保、催收、貸後追蹤等)、放款展業、每月存款對帳單寄發</t>
  </si>
  <si>
    <t>非上班時間須辦理公務之配合度較高，常配合客戶假日對保，較具有犧牲精神，不計較，亦較會關心漁會財產(如建築物損壞或清理)。</t>
  </si>
  <si>
    <t>謝宜賀</t>
  </si>
  <si>
    <t xml:space="preserve">1月~10月15日擔任出納(現金收付作業、自動提款機及監視器管理、每半年防搶演練及及五合一教育訓練講習一次、每月警鈴測試兩次)
10月16日起擔任存款 (存匯業務，含開戶、定存、金融卡及存款各項申請、代收各項費稅、每月放款對帳單寄發)</t>
  </si>
  <si>
    <t>王曉婕</t>
  </si>
  <si>
    <t>各項業務展業、徵信業務、查詢聯徵，以及出納、存款、會計之第一代理人</t>
  </si>
  <si>
    <t>辦理專案農貸能為客戶尋求較佳解決辦法，已能獨當一面，事事耐心與客戶溝通協調。平時亦較有進取心，對業務相關資訊會主動涉略，今年逢員工旅遊及同仁請假，一人要代理出納、存款、會計等不同櫃台，皆能勝任。非上班時間須辦理公務之配合度較高。</t>
  </si>
  <si>
    <t>洪勻婕</t>
  </si>
  <si>
    <t>辦事處(包含辦理會員入出會、勞健保業務、船舶及船員業務、收發文、汽機車險)、漁產品銷售管理、單位總財產管理、裝鈔、代理主管</t>
  </si>
  <si>
    <t>陳玉玲</t>
  </si>
  <si>
    <t xml:space="preserve">1月~10月15日擔任存款 (存匯業務，含開戶、定存、金融卡及存款各項申請、代收各項費稅、每月放款對帳單寄發)
10月16日起擔任出納(現金收付作業、自動提款機及監視器管理、每半年防搶演練及及五合一教育訓練講習一次、每月警鈴測試兩次)</t>
  </si>
  <si>
    <t>大城高齡客戶群多，常要大聲或耐心向客戶解說，能耐心對待長輩。今年度繼承存款之案件累計20件，辦理常要向家屬一一解說，妥善辦理，且資料整理甚佳。另今年度招攬存款有較多外出開戶件須儘速開戶以便客戶匯款轉定存，皆能及時完成。10月中輪調後常要教導宜賀並時時在旁幫忙注意並一再提醒，也甚為辛苦，與各櫃台工作量相較之下較多。</t>
  </si>
  <si>
    <t>0038</t>
  </si>
  <si>
    <t>0110</t>
  </si>
  <si>
    <t>0113</t>
  </si>
  <si>
    <t>0092</t>
  </si>
  <si>
    <t>0114</t>
  </si>
  <si>
    <t>0111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</si>
</sst>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sz val="11.000000"/>
      <color theme="1"/>
      <name val="微軟正黑體"/>
    </font>
    <font>
      <b/>
      <sz val="16.000000"/>
      <color theme="1"/>
      <name val="標楷體"/>
    </font>
    <font>
      <sz val="11.000000"/>
      <color theme="1"/>
      <name val="標楷體"/>
    </font>
    <font>
      <sz val="11.000000"/>
      <color indexed="2"/>
      <name val="標楷體"/>
    </font>
    <font>
      <sz val="11.000000"/>
      <color theme="1"/>
      <name val="Microsoft JhengHei"/>
    </font>
    <font>
      <sz val="11.000000"/>
      <color theme="1"/>
      <name val="Arial Unicode MS"/>
    </font>
    <font>
      <sz val="11.000000"/>
      <name val="標楷體"/>
    </font>
  </fonts>
  <fills count="4">
    <fill>
      <patternFill patternType="none"/>
    </fill>
    <fill>
      <patternFill patternType="gray125"/>
    </fill>
    <fill>
      <patternFill patternType="solid">
        <fgColor theme="0" tint="-0.049989318521683403"/>
        <bgColor theme="0" tint="-0.049989318521683403"/>
      </patternFill>
    </fill>
    <fill>
      <patternFill patternType="solid">
        <fgColor theme="9" tint="0.79998168889431442"/>
        <bgColor theme="9" tint="0.79998168889431442"/>
      </patternFill>
    </fill>
  </fills>
  <borders count="6">
    <border>
      <left style="none"/>
      <right style="none"/>
      <top style="none"/>
      <bottom style="none"/>
      <diagonal style="none"/>
    </border>
    <border>
      <left style="none"/>
      <right style="none"/>
      <top style="thin">
        <color auto="1"/>
      </top>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s>
  <cellStyleXfs count="1">
    <xf fontId="0" fillId="0" borderId="0" numFmtId="0" applyNumberFormat="1" applyFont="1" applyFill="1" applyBorder="1"/>
  </cellStyleXfs>
  <cellXfs count="37">
    <xf fontId="0" fillId="0" borderId="0" numFmtId="0" xfId="0"/>
    <xf fontId="0" fillId="0" borderId="0" numFmtId="0" xfId="0"/>
    <xf fontId="1" fillId="0" borderId="0" numFmtId="0" xfId="0" applyFont="1" applyAlignment="1" applyProtection="1">
      <alignment horizontal="center" vertical="center" wrapText="1"/>
      <protection locked="0"/>
    </xf>
    <xf fontId="1" fillId="0" borderId="0" numFmtId="0" xfId="0" applyFont="1" applyAlignment="1" applyProtection="1">
      <alignment horizontal="left" vertical="top"/>
      <protection locked="0"/>
    </xf>
    <xf fontId="1" fillId="0" borderId="0" numFmtId="0" xfId="0" applyFont="1" applyProtection="1">
      <protection locked="0"/>
    </xf>
    <xf fontId="0" fillId="0" borderId="0" numFmtId="0" xfId="0" applyAlignment="1" applyProtection="1">
      <alignment horizontal="center"/>
      <protection locked="0"/>
    </xf>
    <xf fontId="0" fillId="0" borderId="1" numFmtId="0" xfId="0" applyBorder="1"/>
    <xf fontId="0" fillId="0" borderId="2" numFmtId="0" xfId="0" applyBorder="1" applyProtection="1">
      <protection locked="0"/>
    </xf>
    <xf fontId="2" fillId="0" borderId="3" numFmtId="0" xfId="0" applyFont="1" applyBorder="1" applyAlignment="1" applyProtection="1">
      <alignment horizontal="center" vertical="center" wrapText="1"/>
      <protection locked="0"/>
    </xf>
    <xf fontId="2" fillId="0" borderId="4" numFmtId="0" xfId="0" applyFont="1" applyBorder="1" applyAlignment="1" applyProtection="1">
      <alignment horizontal="center" vertical="center" wrapText="1"/>
      <protection locked="0"/>
    </xf>
    <xf fontId="2" fillId="0" borderId="5" numFmtId="0" xfId="0" applyFont="1" applyBorder="1" applyAlignment="1" applyProtection="1">
      <alignment horizontal="center" vertical="center" wrapText="1"/>
      <protection locked="0"/>
    </xf>
    <xf fontId="3" fillId="0" borderId="2" numFmtId="0" xfId="0" applyFont="1" applyBorder="1" applyAlignment="1" applyProtection="1">
      <alignment horizontal="center" vertical="center" wrapText="1"/>
      <protection locked="0"/>
    </xf>
    <xf fontId="4" fillId="2" borderId="2" numFmtId="0" xfId="0" applyFont="1" applyFill="1" applyBorder="1" applyAlignment="1" applyProtection="1">
      <alignment horizontal="center" vertical="center" wrapText="1"/>
      <protection locked="0"/>
    </xf>
    <xf fontId="3" fillId="2" borderId="3" numFmtId="0" xfId="0" applyFont="1" applyFill="1" applyBorder="1" applyAlignment="1" applyProtection="1">
      <alignment horizontal="left" vertical="top" wrapText="1"/>
      <protection locked="0"/>
    </xf>
    <xf fontId="3" fillId="2" borderId="4" numFmtId="0" xfId="0" applyFont="1" applyFill="1" applyBorder="1" applyAlignment="1" applyProtection="1">
      <alignment horizontal="left" vertical="top" wrapText="1"/>
      <protection locked="0"/>
    </xf>
    <xf fontId="3" fillId="2" borderId="5" numFmtId="0" xfId="0" applyFont="1" applyFill="1" applyBorder="1" applyAlignment="1" applyProtection="1">
      <alignment horizontal="left" vertical="top" wrapText="1"/>
      <protection locked="0"/>
    </xf>
    <xf fontId="5" fillId="0" borderId="2" numFmtId="0" xfId="0" applyFont="1" applyBorder="1" applyAlignment="1" applyProtection="1">
      <alignment horizontal="center" vertical="center"/>
      <protection locked="0"/>
    </xf>
    <xf fontId="3" fillId="0" borderId="2" numFmtId="0" xfId="0" applyFont="1" applyBorder="1" applyAlignment="1" applyProtection="1">
      <alignment horizontal="center" vertical="center"/>
      <protection locked="0"/>
    </xf>
    <xf fontId="3" fillId="0" borderId="2" numFmtId="0" xfId="0" applyFont="1" applyBorder="1" applyAlignment="1" applyProtection="1">
      <alignment vertical="center" wrapText="1"/>
      <protection locked="0"/>
    </xf>
    <xf fontId="6" fillId="3" borderId="2" numFmtId="9" xfId="0" applyNumberFormat="1" applyFont="1" applyFill="1" applyBorder="1" applyAlignment="1">
      <alignment horizontal="center" vertical="center"/>
    </xf>
    <xf fontId="7" fillId="0" borderId="2" numFmtId="0" xfId="0" applyFont="1" applyBorder="1" applyAlignment="1" applyProtection="1">
      <alignment vertical="center" wrapText="1"/>
      <protection locked="0"/>
    </xf>
    <xf fontId="4" fillId="0" borderId="2" numFmtId="0" xfId="0" applyFont="1" applyBorder="1" applyAlignment="1" applyProtection="1">
      <alignment vertical="center" wrapText="1"/>
      <protection locked="0"/>
    </xf>
    <xf fontId="3" fillId="0" borderId="2" numFmtId="0" xfId="0" applyFont="1" applyBorder="1" applyAlignment="1" applyProtection="1">
      <alignment horizontal="left" vertical="center" wrapText="1"/>
      <protection locked="0"/>
    </xf>
    <xf fontId="3" fillId="0" borderId="2" numFmtId="0" xfId="0" applyFont="1" applyBorder="1" applyAlignment="1" applyProtection="1">
      <alignment horizontal="left" vertical="center"/>
      <protection locked="0"/>
    </xf>
    <xf fontId="7" fillId="2" borderId="3" numFmtId="0" xfId="0" applyFont="1" applyFill="1" applyBorder="1" applyAlignment="1" applyProtection="1">
      <alignment horizontal="left" vertical="top" wrapText="1"/>
      <protection locked="0"/>
    </xf>
    <xf fontId="7" fillId="2" borderId="4" numFmtId="0" xfId="0" applyFont="1" applyFill="1" applyBorder="1" applyAlignment="1" applyProtection="1">
      <alignment horizontal="left" vertical="top" wrapText="1"/>
      <protection locked="0"/>
    </xf>
    <xf fontId="7" fillId="2" borderId="5" numFmtId="0" xfId="0" applyFont="1" applyFill="1" applyBorder="1" applyAlignment="1" applyProtection="1">
      <alignment horizontal="left" vertical="top" wrapText="1"/>
      <protection locked="0"/>
    </xf>
    <xf fontId="3" fillId="0" borderId="2" numFmtId="0" xfId="0" applyFont="1" applyBorder="1" applyAlignment="1">
      <alignment horizontal="center" vertical="center"/>
    </xf>
    <xf fontId="4" fillId="0" borderId="2" numFmtId="0" xfId="0" applyFont="1" applyBorder="1" applyAlignment="1">
      <alignment horizontal="left" indent="1" vertical="center"/>
    </xf>
    <xf fontId="4" fillId="0" borderId="2" numFmtId="0" xfId="0" applyFont="1" applyBorder="1" applyAlignment="1" applyProtection="1">
      <alignment horizontal="center" vertical="center"/>
      <protection locked="0"/>
    </xf>
    <xf fontId="0" fillId="0" borderId="0" numFmtId="0" xfId="0" applyAlignment="1">
      <alignment horizontal="left"/>
    </xf>
    <xf fontId="0" fillId="0" borderId="0" numFmtId="0" xfId="0" applyAlignment="1" applyProtection="1">
      <alignment horizontal="left"/>
      <protection locked="0"/>
    </xf>
    <xf fontId="1" fillId="0" borderId="0" numFmtId="0" xfId="0" applyFont="1" applyAlignment="1" applyProtection="1">
      <alignment horizontal="left" vertical="center"/>
      <protection locked="0"/>
    </xf>
    <xf fontId="1" fillId="0" borderId="0" numFmtId="0" xfId="0" applyFont="1" applyAlignment="1" applyProtection="1">
      <alignment horizontal="left" vertical="center" wrapText="1"/>
      <protection locked="0"/>
    </xf>
    <xf fontId="1" fillId="0" borderId="0" numFmtId="0" xfId="0" applyFont="1" applyAlignment="1" applyProtection="1">
      <alignment horizontal="left" wrapText="1"/>
      <protection locked="0"/>
    </xf>
    <xf fontId="1" fillId="0" borderId="0" numFmtId="0" xfId="0" applyFont="1" applyAlignment="1" applyProtection="1">
      <alignment horizontal="left"/>
      <protection locked="0"/>
    </xf>
    <xf fontId="1" fillId="0" borderId="0" numFmtId="0" xfId="0" applyFon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2</v>
      </c>
      <c r="D2" s="11"/>
      <c r="E2" s="11"/>
      <c r="F2" s="11" t="s">
        <v>3</v>
      </c>
      <c r="G2" s="11"/>
      <c r="H2" s="11" t="s">
        <v>4</v>
      </c>
      <c r="I2" s="11"/>
      <c r="J2" s="11"/>
      <c r="K2" s="11"/>
    </row>
    <row r="3" ht="58.799999999999997" customHeight="1">
      <c r="A3" s="7"/>
      <c r="B3" s="12" t="s">
        <v>5</v>
      </c>
      <c r="C3" s="13" t="s">
        <v>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82</v>
      </c>
      <c r="G6" s="17"/>
      <c r="H6" s="19">
        <v>0.29999999999999999</v>
      </c>
      <c r="I6" s="19">
        <v>0.20000000000000001</v>
      </c>
      <c r="J6" s="19">
        <v>0.29999999999999999</v>
      </c>
      <c r="K6" s="19">
        <v>0.25</v>
      </c>
    </row>
    <row r="7" ht="81" customHeight="1">
      <c r="A7" s="7"/>
      <c r="B7" s="11" t="s">
        <v>18</v>
      </c>
      <c r="C7" s="18" t="s">
        <v>19</v>
      </c>
      <c r="D7" s="18"/>
      <c r="E7" s="18"/>
      <c r="F7" s="17">
        <v>78</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75</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78</v>
      </c>
      <c r="E13" s="28" t="str">
        <f t="array" ref="E13">IF(AND(ISNUMBER($D$13),$D$13&gt;0),
    IFERROR(
        _xlfn.IFS(
            $D$13&gt;=90,"考核:優",
            $D$13&gt;=80,"考核:甲",
            $D$13&gt;=70,"考核:乙",
            $D$13&gt;=60,"考核:丙",
            $D$13&gt;=50,"考核:丁",
            $D$13&gt;=1,"考核:戊"
        ),
        ""
    ),
    ""
)</f>
        <v>考核:乙</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78</v>
      </c>
      <c r="E14" s="28" t="str">
        <f t="array" ref="E14">IF(AND(ISNUMBER($D$14),$D$14&gt;0),
    IFERROR(
        _xlfn.IFS(
            $D$14&gt;=90,"績效:優",
            $D$14&gt;=80,"績效:甲",
            $D$14&gt;=70,"績效:乙",
            $D$14&gt;=60,"績效:丙",
            $D$14&gt;=50,"績效:丁",
            $D$14&gt;=1,"績效:戊"
        ),
        ""
    ),
    ""
)</f>
        <v>績效:乙</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F500CF-00BB-402B-B6AA-00EC0024001C}"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0F009E-00A5-4E3A-AD85-003D008900F4}"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35</v>
      </c>
      <c r="D2" s="11"/>
      <c r="E2" s="11"/>
      <c r="F2" s="11" t="s">
        <v>3</v>
      </c>
      <c r="G2" s="11"/>
      <c r="H2" s="11" t="s">
        <v>4</v>
      </c>
      <c r="I2" s="11"/>
      <c r="J2" s="11"/>
      <c r="K2" s="11"/>
    </row>
    <row r="3" ht="58.799999999999997" customHeight="1">
      <c r="A3" s="7"/>
      <c r="B3" s="12" t="s">
        <v>5</v>
      </c>
      <c r="C3" s="13" t="s">
        <v>36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88</v>
      </c>
      <c r="G6" s="17"/>
      <c r="H6" s="19">
        <v>0.29999999999999999</v>
      </c>
      <c r="I6" s="19">
        <v>0.20000000000000001</v>
      </c>
      <c r="J6" s="19">
        <v>0.29999999999999999</v>
      </c>
      <c r="K6" s="19">
        <v>0.25</v>
      </c>
    </row>
    <row r="7" ht="81" customHeight="1">
      <c r="A7" s="7"/>
      <c r="B7" s="11" t="s">
        <v>18</v>
      </c>
      <c r="C7" s="18" t="s">
        <v>19</v>
      </c>
      <c r="D7" s="18"/>
      <c r="E7" s="18"/>
      <c r="F7" s="17">
        <v>88</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88</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37</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88</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88</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8500CA-0056-4AC0-8F92-00FF001100BD}"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110093-0040-4AF5-B185-00AE00570005}"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38</v>
      </c>
      <c r="D2" s="11"/>
      <c r="E2" s="11"/>
      <c r="F2" s="11" t="s">
        <v>3</v>
      </c>
      <c r="G2" s="11"/>
      <c r="H2" s="11" t="s">
        <v>4</v>
      </c>
      <c r="I2" s="11"/>
      <c r="J2" s="11"/>
      <c r="K2" s="11"/>
    </row>
    <row r="3" ht="58.799999999999997" customHeight="1">
      <c r="A3" s="7"/>
      <c r="B3" s="12" t="s">
        <v>5</v>
      </c>
      <c r="C3" s="13" t="s">
        <v>39</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70</v>
      </c>
      <c r="G6" s="17"/>
      <c r="H6" s="19">
        <v>0.29999999999999999</v>
      </c>
      <c r="I6" s="19">
        <v>0.20000000000000001</v>
      </c>
      <c r="J6" s="19">
        <v>0.29999999999999999</v>
      </c>
      <c r="K6" s="19">
        <v>0.25</v>
      </c>
    </row>
    <row r="7" ht="81" customHeight="1">
      <c r="A7" s="7"/>
      <c r="B7" s="11" t="s">
        <v>18</v>
      </c>
      <c r="C7" s="18" t="s">
        <v>19</v>
      </c>
      <c r="D7" s="18"/>
      <c r="E7" s="18"/>
      <c r="F7" s="17">
        <v>78</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78</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76</v>
      </c>
      <c r="E13" s="28" t="str">
        <f t="array" ref="E13">IF(AND(ISNUMBER($D$13),$D$13&gt;0),
    IFERROR(
        _xlfn.IFS(
            $D$13&gt;=90,"考核:優",
            $D$13&gt;=80,"考核:甲",
            $D$13&gt;=70,"考核:乙",
            $D$13&gt;=60,"考核:丙",
            $D$13&gt;=50,"考核:丁",
            $D$13&gt;=1,"考核:戊"
        ),
        ""
    ),
    ""
)</f>
        <v>考核:乙</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76</v>
      </c>
      <c r="E14" s="28" t="str">
        <f t="array" ref="E14">IF(AND(ISNUMBER($D$14),$D$14&gt;0),
    IFERROR(
        _xlfn.IFS(
            $D$14&gt;=90,"績效:優",
            $D$14&gt;=80,"績效:甲",
            $D$14&gt;=70,"績效:乙",
            $D$14&gt;=60,"績效:丙",
            $D$14&gt;=50,"績效:丁",
            $D$14&gt;=1,"績效:戊"
        ),
        ""
    ),
    ""
)</f>
        <v>績效:乙</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2F0084-001E-403B-B44B-004F00800064}"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2400F1-00C0-4767-A029-002200C100A7}"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40</v>
      </c>
      <c r="D2" s="11"/>
      <c r="E2" s="11"/>
      <c r="F2" s="11" t="s">
        <v>3</v>
      </c>
      <c r="G2" s="11"/>
      <c r="H2" s="11" t="s">
        <v>4</v>
      </c>
      <c r="I2" s="11"/>
      <c r="J2" s="11"/>
      <c r="K2" s="11"/>
    </row>
    <row r="3" ht="58.799999999999997" customHeight="1">
      <c r="A3" s="7"/>
      <c r="B3" s="12" t="s">
        <v>5</v>
      </c>
      <c r="C3" s="13" t="s">
        <v>41</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92</v>
      </c>
      <c r="G6" s="17"/>
      <c r="H6" s="19">
        <v>0.29999999999999999</v>
      </c>
      <c r="I6" s="19">
        <v>0.20000000000000001</v>
      </c>
      <c r="J6" s="19">
        <v>0.29999999999999999</v>
      </c>
      <c r="K6" s="19">
        <v>0.25</v>
      </c>
    </row>
    <row r="7" ht="81" customHeight="1">
      <c r="A7" s="7"/>
      <c r="B7" s="11" t="s">
        <v>18</v>
      </c>
      <c r="C7" s="18" t="s">
        <v>19</v>
      </c>
      <c r="D7" s="18"/>
      <c r="E7" s="18"/>
      <c r="F7" s="17">
        <v>92</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90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42</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91</v>
      </c>
      <c r="E13" s="28" t="str">
        <f t="array" ref="E13">IF(AND(ISNUMBER($D$13),$D$13&gt;0),
    IFERROR(
        _xlfn.IFS(
            $D$13&gt;=90,"考核:優",
            $D$13&gt;=80,"考核:甲",
            $D$13&gt;=70,"考核:乙",
            $D$13&gt;=60,"考核:丙",
            $D$13&gt;=50,"考核:丁",
            $D$13&gt;=1,"考核:戊"
        ),
        ""
    ),
    ""
)</f>
        <v>考核:優</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91</v>
      </c>
      <c r="E14" s="28" t="str">
        <f t="array" ref="E14">IF(AND(ISNUMBER($D$14),$D$14&gt;0),
    IFERROR(
        _xlfn.IFS(
            $D$14&gt;=90,"績效:優",
            $D$14&gt;=80,"績效:甲",
            $D$14&gt;=70,"績效:乙",
            $D$14&gt;=60,"績效:丙",
            $D$14&gt;=50,"績效:丁",
            $D$14&gt;=1,"績效:戊"
        ),
        ""
    ),
    ""
)</f>
        <v>績效:優</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4C0017-0093-4846-A328-00C900F000D2}"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6A00F1-00AE-4205-A7E7-001A00C500EA}"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9"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43</v>
      </c>
      <c r="D2" s="11"/>
      <c r="E2" s="11"/>
      <c r="F2" s="11" t="s">
        <v>3</v>
      </c>
      <c r="G2" s="11"/>
      <c r="H2" s="11" t="s">
        <v>4</v>
      </c>
      <c r="I2" s="11"/>
      <c r="J2" s="11"/>
      <c r="K2" s="11"/>
    </row>
    <row r="3" ht="58.799999999999997" customHeight="1">
      <c r="A3" s="7"/>
      <c r="B3" s="12" t="s">
        <v>5</v>
      </c>
      <c r="C3" s="13" t="s">
        <v>44</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85</v>
      </c>
      <c r="G6" s="17"/>
      <c r="H6" s="19">
        <v>0.29999999999999999</v>
      </c>
      <c r="I6" s="19">
        <v>0.20000000000000001</v>
      </c>
      <c r="J6" s="19">
        <v>0.29999999999999999</v>
      </c>
      <c r="K6" s="19">
        <v>0.25</v>
      </c>
    </row>
    <row r="7" ht="81" customHeight="1">
      <c r="A7" s="7"/>
      <c r="B7" s="11" t="s">
        <v>18</v>
      </c>
      <c r="C7" s="18" t="s">
        <v>19</v>
      </c>
      <c r="D7" s="18"/>
      <c r="E7" s="18"/>
      <c r="F7" s="17">
        <v>85</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89</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86</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87</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050099-007E-4D5E-928E-00F90040002E}"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4D00CA-00D8-4E7B-9B2F-00E700BB003F}"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0"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45</v>
      </c>
      <c r="D2" s="11"/>
      <c r="E2" s="11"/>
      <c r="F2" s="11" t="s">
        <v>3</v>
      </c>
      <c r="G2" s="11"/>
      <c r="H2" s="11" t="s">
        <v>4</v>
      </c>
      <c r="I2" s="11"/>
      <c r="J2" s="11"/>
      <c r="K2" s="11"/>
    </row>
    <row r="3" ht="58.799999999999997" customHeight="1">
      <c r="A3" s="7"/>
      <c r="B3" s="12" t="s">
        <v>5</v>
      </c>
      <c r="C3" s="13" t="s">
        <v>46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90</v>
      </c>
      <c r="G6" s="17"/>
      <c r="H6" s="19">
        <v>0.29999999999999999</v>
      </c>
      <c r="I6" s="19">
        <v>0.20000000000000001</v>
      </c>
      <c r="J6" s="19">
        <v>0.29999999999999999</v>
      </c>
      <c r="K6" s="19">
        <v>0.25</v>
      </c>
    </row>
    <row r="7" ht="81" customHeight="1">
      <c r="A7" s="7"/>
      <c r="B7" s="11" t="s">
        <v>18</v>
      </c>
      <c r="C7" s="18" t="s">
        <v>19</v>
      </c>
      <c r="D7" s="18"/>
      <c r="E7" s="18"/>
      <c r="F7" s="17">
        <v>90</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90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47</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90</v>
      </c>
      <c r="E13" s="28" t="str">
        <f t="array" ref="E13">IF(AND(ISNUMBER($D$13),$D$13&gt;0),
    IFERROR(
        _xlfn.IFS(
            $D$13&gt;=90,"考核:優",
            $D$13&gt;=80,"考核:甲",
            $D$13&gt;=70,"考核:乙",
            $D$13&gt;=60,"考核:丙",
            $D$13&gt;=50,"考核:丁",
            $D$13&gt;=1,"考核:戊"
        ),
        ""
    ),
    ""
)</f>
        <v>考核:優</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90</v>
      </c>
      <c r="E14" s="28" t="str">
        <f t="array" ref="E14">IF(AND(ISNUMBER($D$14),$D$14&gt;0),
    IFERROR(
        _xlfn.IFS(
            $D$14&gt;=90,"績效:優",
            $D$14&gt;=80,"績效:甲",
            $D$14&gt;=70,"績效:乙",
            $D$14&gt;=60,"績效:丙",
            $D$14&gt;=50,"績效:丁",
            $D$14&gt;=1,"績效:戊"
        ),
        ""
    ),
    ""
)</f>
        <v>績效:優</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11005B-00F6-4326-8394-00DF009300C8}"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51002B-00E1-4A23-99EB-00F0007500BC}"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c r="A1" t="s">
        <v>48</v>
      </c>
      <c r="B1" t="s">
        <v>2</v>
      </c>
      <c r="C1" t="s">
        <v>4</v>
      </c>
      <c r="D1" t="s">
        <v>10</v>
      </c>
    </row>
    <row r="2">
      <c r="A2" t="s">
        <v>49</v>
      </c>
      <c r="B2" t="s">
        <v>35</v>
      </c>
      <c r="C2" t="s">
        <v>4</v>
      </c>
      <c r="D2" t="s">
        <v>10</v>
      </c>
    </row>
    <row r="3">
      <c r="A3" t="s">
        <v>50</v>
      </c>
      <c r="B3" t="s">
        <v>38</v>
      </c>
      <c r="C3" t="s">
        <v>4</v>
      </c>
      <c r="D3" t="s">
        <v>10</v>
      </c>
    </row>
    <row r="4">
      <c r="A4" t="s">
        <v>51</v>
      </c>
      <c r="B4" t="s">
        <v>40</v>
      </c>
      <c r="C4" t="s">
        <v>4</v>
      </c>
      <c r="D4" t="s">
        <v>10</v>
      </c>
    </row>
    <row r="5">
      <c r="A5" t="s">
        <v>52</v>
      </c>
      <c r="B5" t="s">
        <v>43</v>
      </c>
      <c r="C5" t="s">
        <v>4</v>
      </c>
      <c r="D5" t="s">
        <v>10</v>
      </c>
    </row>
    <row r="6">
      <c r="A6" t="s">
        <v>53</v>
      </c>
      <c r="B6" t="s">
        <v>45</v>
      </c>
      <c r="C6" t="s">
        <v>4</v>
      </c>
      <c r="D6" t="s">
        <v>10</v>
      </c>
    </row>
  </sheetData>
  <sheetProtection algorithmName="SHA-512" hashValue="M1iIbMtk/SB6JtVujm/0mBC31+lQtpTbbBAAQGIP2z3t/zS1NS0U10nJS+Rh2ZfNKZJ8g7pdtXUSGZLl5MzdgQ==" saltValue="R/Csr+VEbnJ+49Tj9Kq5DQ==" spinCount="100000" autoFilter="1" deleteColumns="1" deleteRows="1" formatCells="1" formatColumns="1" formatRows="1" insertColumns="1" insertHyperlinks="1" insertRows="1" objects="0" pivotTables="1" scenarios="0" selectLockedCells="1" selectUnlockedCells="1"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2147483648" verticalDpi="2147483648" copies="1"/>
  <headerFooter/>
</worksheet>
</file>

<file path=docProps/app.xml><?xml version="1.0" encoding="utf-8"?>
<Properties xmlns="http://schemas.openxmlformats.org/officeDocument/2006/extended-properties" xmlns:vt="http://schemas.openxmlformats.org/officeDocument/2006/docPropsVTypes">
  <Application>onlyoffice/8.0.1.31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洪榆涵</cp:lastModifiedBy>
  <cp:revision>6</cp:revision>
  <dcterms:created xsi:type="dcterms:W3CDTF">2015-06-05T18:19:34Z</dcterms:created>
  <dcterms:modified xsi:type="dcterms:W3CDTF">2024-12-13T04:57:53Z</dcterms:modified>
</cp:coreProperties>
</file>