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許素梅" sheetId="1" state="visible" r:id="rId1"/>
    <sheet name="辜瑞麟" sheetId="2" state="visible" r:id="rId2"/>
    <sheet name="李財福" sheetId="3" state="visible" r:id="rId3"/>
    <sheet name="陳雅貞" sheetId="4" state="visible" r:id="rId4"/>
    <sheet name="林義斗" sheetId="5" state="visible" r:id="rId5"/>
    <sheet name="王敍銓" sheetId="6" state="visible" r:id="rId6"/>
    <sheet name="陳怡均" sheetId="7" state="visible" r:id="rId7"/>
    <sheet name="吳秉芸" sheetId="8" state="visible" r:id="rId8"/>
    <sheet name="陳泳霖" sheetId="9" state="visible" r:id="rId9"/>
    <sheet name="林育慶" sheetId="10" state="visible" r:id="rId10"/>
    <sheet name="陳金鳳" sheetId="11" state="visible" r:id="rId11"/>
    <sheet name="洪慈憶" sheetId="12" state="visible" r:id="rId12"/>
    <sheet name="參數" sheetId="13" state="hidden" r:id="rId13"/>
  </sheets>
  <calcPr/>
</workbook>
</file>

<file path=xl/sharedStrings.xml><?xml version="1.0" encoding="utf-8"?>
<sst xmlns="http://schemas.openxmlformats.org/spreadsheetml/2006/main" count="72" uniqueCount="72">
  <si>
    <t>113年度彰化區漁會年終考核/績效成績表</t>
  </si>
  <si>
    <t>姓名</t>
  </si>
  <si>
    <t>許素梅</t>
  </si>
  <si>
    <t>服務部門</t>
  </si>
  <si>
    <t>王功分部</t>
  </si>
  <si>
    <t>工作內容(必填)</t>
  </si>
  <si>
    <t>出納業務{小出納}{小額現金收付、兌換外幣、支存開戶申請、代收款項(水費.電話費.勞健保費.及國稅.地方各類稅金)申請退票抽票業務、對帳單寄發、甲存繳票通知.........等。}</t>
  </si>
  <si>
    <t>考核期間</t>
  </si>
  <si>
    <t>113年O1月至12月</t>
  </si>
  <si>
    <t>主管</t>
  </si>
  <si>
    <t>員工</t>
  </si>
  <si>
    <t xml:space="preserve">考 核 項 目</t>
  </si>
  <si>
    <t>考核內容</t>
  </si>
  <si>
    <t>分數(0~100)</t>
  </si>
  <si>
    <t>考核</t>
  </si>
  <si>
    <t>績效</t>
  </si>
  <si>
    <t xml:space="preserve">工作知能及
公文績效</t>
  </si>
  <si>
    <r>
      <rPr>
        <sz val="11"/>
        <rFont val="標楷體"/>
      </rPr>
      <t>嫻熟工作相關專業知識，對於承辦業務能提出具體改進措施，或簡化工作流程，提升效能效率，增進工作績效</t>
    </r>
    <r>
      <rPr>
        <sz val="11"/>
        <color theme="1"/>
        <rFont val="標楷體"/>
      </rPr>
      <t>。公文處理均能掌握品質及時效，臨時交辦案件亦能依限完成。</t>
    </r>
  </si>
  <si>
    <t>服務態度、工作積極及品德操守</t>
  </si>
  <si>
    <t xml:space="preserve">負責盡職，積極辦理業務，落實顧客導向，提升服務品質。發揮團隊精神，對於工作與職務調整，及與他人協調合作，能優先考量組織目標之達成。
公正和藹，保守秘密，謹慎勤勉，誠實廉潔，無奢侈、放蕩、冶遊、賭博及其他有害聲譽之行為。</t>
  </si>
  <si>
    <r>
      <rPr>
        <sz val="11"/>
        <rFont val="標楷體"/>
      </rPr>
      <t xml:space="preserve">領導協調
能力</t>
    </r>
    <r>
      <rPr>
        <sz val="11"/>
        <color indexed="2"/>
        <rFont val="標楷體"/>
      </rPr>
      <t xml:space="preserve">(主管職務)   </t>
    </r>
  </si>
  <si>
    <t>具判斷決策溝通協調能力，並能傳授知識、經驗、技能，適當指導同仁，且經常檢討工作計畫執行情形，達成預定績效目標。</t>
  </si>
  <si>
    <t>年度目標達成度</t>
  </si>
  <si>
    <r>
      <rPr>
        <sz val="11"/>
        <color rgb="FF0070C0"/>
        <rFont val="標楷體"/>
      </rPr>
      <t>達成漁會訂定之目標值或成效</t>
    </r>
    <r>
      <rPr>
        <sz val="11"/>
        <color theme="1"/>
        <rFont val="標楷體"/>
      </rPr>
      <t>，如期完成或較預定進度超前，充分達成計畫目標，績效卓著。</t>
    </r>
  </si>
  <si>
    <r>
      <rPr>
        <sz val="11"/>
        <rFont val="標楷體"/>
      </rPr>
      <t xml:space="preserve">個人重大具體優劣事蹟(受考人如有工作、操行、學識、才能等重大具體優劣事蹟，足資紀錄者，應填於本欄 ，以作為考評之重要參據。)
或</t>
    </r>
    <r>
      <rPr>
        <sz val="11"/>
        <color indexed="2"/>
        <rFont val="標楷體"/>
      </rPr>
      <t>主管評定優等或丙等(含)以下應加敘事由或事蹟</t>
    </r>
  </si>
  <si>
    <t xml:space="preserve">單位主管評定等級及分數 (請簽章)</t>
  </si>
  <si>
    <t xml:space="preserve">總幹事綜合考評 (請簽章)</t>
  </si>
  <si>
    <r>
      <rPr/>
      <t xml:space="preserve">附註 :  一</t>
    </r>
    <r>
      <rPr>
        <sz val="6"/>
        <color theme="1"/>
        <rFont val="微軟正黑體"/>
      </rPr>
      <t xml:space="preserve">  </t>
    </r>
    <r>
      <rPr>
        <sz val="11"/>
        <color theme="1"/>
        <rFont val="微軟正黑體"/>
      </rPr>
      <t>、依據漁會人事管理辦法第54條規定訂定，但各漁會得視業務特性及需要自行訂定。</t>
    </r>
  </si>
  <si>
    <t xml:space="preserve">           二 、平時考核紀錄等級分為6級，平時考核紀錄等級分述如下:</t>
  </si>
  <si>
    <t xml:space="preserve">                    優:90-99(表現優異，足為同仁表率。)</t>
  </si>
  <si>
    <t xml:space="preserve">                    甲:80-89(表現明顯地超出該職責的要求水準。)</t>
  </si>
  <si>
    <t xml:space="preserve">                    乙:70-79(表現均能達到要求水準。)</t>
  </si>
  <si>
    <t xml:space="preserve">                    丙:60-69(表現未盡符合基本要求。)</t>
  </si>
  <si>
    <t xml:space="preserve">                    丁:50-59(表現多未達基本要求，經勸導仍未改進者。)</t>
  </si>
  <si>
    <t xml:space="preserve">                    戊:40-49(無故曠工。)</t>
  </si>
  <si>
    <t>辜瑞麟</t>
  </si>
  <si>
    <t>放款授信業務{放款授信作業、火險加保(新案件及舊案件續保件)、農信保送保作業、保管聯徵金片卡、農金保金業務、覆查本會每月貸放後案件查核.........等。}</t>
  </si>
  <si>
    <t>李財福</t>
  </si>
  <si>
    <t>出納業務{大出納}{現金收付、營業廳監視器係統管理、運鈔車鑰匙操作保管、金庫鑰匙操作保管.........等。}</t>
  </si>
  <si>
    <t>陳雅貞</t>
  </si>
  <si>
    <t>會計業務{會計每日各類傳票整理編訂成冊、每日稽核覆審各類櫃員傳票業務、信用部內雜項事務業務、聯徵及AML覆核、ATM及停車場租賃事宜........等}。</t>
  </si>
  <si>
    <t>{工作態度佳、主動、積極、並能協助其他同事業務之推動，表現優異可為同仁之表率}</t>
  </si>
  <si>
    <t>林義斗</t>
  </si>
  <si>
    <t>活儲{期}存款業務{存款業務、語音及網銀系統業務、代繳各類費稅申辨、金融卡申辦及註銷、托收票及抽票電腦登錄、存款類AML電腦作業、保全鑰匙保管及操作..........等。}</t>
  </si>
  <si>
    <t>王敍銓</t>
  </si>
  <si>
    <t>徵信業務{放款徵信作業、強制執行協助處理、本會放款案件會徵、聯徵業務查詢、運鈔車密碼保管及操作、覆查本會每月貸放後案件查核、每半年覆查本會大額貸放後案件查核..........等。}</t>
  </si>
  <si>
    <t>工作態度積極、主動、並能適時跟單位主管報告自身承辦放款客戶相關進度及內容情形，以利單位主管可同步掌握每位客戶現況及優劣情形做其正確參考依據之考量}</t>
  </si>
  <si>
    <t>陳怡均</t>
  </si>
  <si>
    <t>活儲{期}存款業務{存款業務作業、匯款、法院扣押款、托收票及抽票、語音及網銀系統業務、代繳各類費稅申辦及註銷、金融卡申辦及註銷、存款類AML電腦作業、(金庫副鑰匙、ATM副鑰匙、運鈔車副鑰匙)保管.........等}。</t>
  </si>
  <si>
    <t>{工作態度主動、服務態度佳、能主動察覺客戶是否有異常提領或可能有被詐騙之現象並能積極主動跟單位主管第一時間回報以利防止情事之發生}</t>
  </si>
  <si>
    <t>吳秉芸</t>
  </si>
  <si>
    <t>電腦放款撥款及收息業務{電腦放款撥款、放款收息、繳息客戶逾期繳息通知電話訪催收及寄雙掛號作業、放款類AML電腦登錄授信作業、舊案件火險續保通知、協助甲存繳票通知..........等}。</t>
  </si>
  <si>
    <t>陳泳霖</t>
  </si>
  <si>
    <t>徵信業務{放款徵信作業、強制執行協助處理、聯徵業務查詢、覆查本會每月貸放後案件查核、ATM管理裝卸鈔維修保養、ATM密碼保管(王功及漢寶)、王功信用分部金庫密碼及協同大出納開關金庫..........等。}</t>
  </si>
  <si>
    <t>林育慶</t>
  </si>
  <si>
    <t xml:space="preserve">放款授信業務{授信作業、放款房貸火險加保(新案及展期換單案件)、農信保送保、農金保金業務辦理、覆查本會每月放款案件貸放後案件查核、王功.漢寶ATM監視器.裝卸鈔保養及維修管理、ATM正鑰匙保管..........等。 </t>
  </si>
  <si>
    <t>陳金鳳</t>
  </si>
  <si>
    <t>公務車送票員及催收業務{漁產品管理、運鈔、協助催收、發電機管理、(福興.王功.芳苑.大城信用分部及本會各類文書案件當日往返傳遞、王功分部公務車保管維護管理、防搶演練業務、收文業務...........等}。</t>
  </si>
  <si>
    <t>洪慈憶</t>
  </si>
  <si>
    <t>定期{儲}存款業務{定存業務、存摺開戶、各類代收款項登錄彙整、定存類AML電腦作業登錄、(ATM提款機.王功信用分部金庫、王功信用分部運鈔車副密碼保管.............等。}</t>
  </si>
  <si>
    <t>0109</t>
  </si>
  <si>
    <t>0091</t>
  </si>
  <si>
    <t>0054</t>
  </si>
  <si>
    <t>0093</t>
  </si>
  <si>
    <t>0106</t>
  </si>
  <si>
    <t>0005</t>
  </si>
  <si>
    <t>0099</t>
  </si>
  <si>
    <t>0098</t>
  </si>
  <si>
    <t>0096</t>
  </si>
  <si>
    <t>0167</t>
  </si>
  <si>
    <t>0097</t>
  </si>
  <si>
    <t>0169</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</si>
</sst>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sz val="11.000000"/>
      <color theme="1"/>
      <name val="微軟正黑體"/>
    </font>
    <font>
      <b/>
      <sz val="16.000000"/>
      <color theme="1"/>
      <name val="標楷體"/>
    </font>
    <font>
      <sz val="11.000000"/>
      <color theme="1"/>
      <name val="標楷體"/>
    </font>
    <font>
      <sz val="11.000000"/>
      <color indexed="2"/>
      <name val="標楷體"/>
    </font>
    <font>
      <sz val="11.000000"/>
      <color theme="1"/>
      <name val="Microsoft JhengHei"/>
    </font>
    <font>
      <sz val="11.000000"/>
      <color theme="1"/>
      <name val="Arial Unicode MS"/>
    </font>
    <font>
      <sz val="11.000000"/>
      <name val="標楷體"/>
    </font>
  </fonts>
  <fills count="4">
    <fill>
      <patternFill patternType="none"/>
    </fill>
    <fill>
      <patternFill patternType="gray125"/>
    </fill>
    <fill>
      <patternFill patternType="solid">
        <fgColor theme="0" tint="-0.049989318521683403"/>
        <bgColor theme="0" tint="-0.049989318521683403"/>
      </patternFill>
    </fill>
    <fill>
      <patternFill patternType="solid">
        <fgColor theme="9" tint="0.79998168889431442"/>
        <bgColor theme="9" tint="0.79998168889431442"/>
      </patternFill>
    </fill>
  </fills>
  <borders count="6">
    <border>
      <left style="none"/>
      <right style="none"/>
      <top style="none"/>
      <bottom style="none"/>
      <diagonal style="none"/>
    </border>
    <border>
      <left style="none"/>
      <right style="none"/>
      <top style="thin">
        <color auto="1"/>
      </top>
      <bottom style="none"/>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s>
  <cellStyleXfs count="1">
    <xf fontId="0" fillId="0" borderId="0" numFmtId="0" applyNumberFormat="1" applyFont="1" applyFill="1" applyBorder="1"/>
  </cellStyleXfs>
  <cellXfs count="37">
    <xf fontId="0" fillId="0" borderId="0" numFmtId="0" xfId="0"/>
    <xf fontId="0" fillId="0" borderId="0" numFmtId="0" xfId="0"/>
    <xf fontId="1" fillId="0" borderId="0" numFmtId="0" xfId="0" applyFont="1" applyAlignment="1" applyProtection="1">
      <alignment horizontal="center" vertical="center" wrapText="1"/>
      <protection locked="0"/>
    </xf>
    <xf fontId="1" fillId="0" borderId="0" numFmtId="0" xfId="0" applyFont="1" applyAlignment="1" applyProtection="1">
      <alignment horizontal="left" vertical="top"/>
      <protection locked="0"/>
    </xf>
    <xf fontId="1" fillId="0" borderId="0" numFmtId="0" xfId="0" applyFont="1" applyProtection="1">
      <protection locked="0"/>
    </xf>
    <xf fontId="0" fillId="0" borderId="0" numFmtId="0" xfId="0" applyAlignment="1" applyProtection="1">
      <alignment horizontal="center"/>
      <protection locked="0"/>
    </xf>
    <xf fontId="0" fillId="0" borderId="1" numFmtId="0" xfId="0" applyBorder="1"/>
    <xf fontId="0" fillId="0" borderId="2" numFmtId="0" xfId="0" applyBorder="1" applyProtection="1">
      <protection locked="0"/>
    </xf>
    <xf fontId="2" fillId="0" borderId="3" numFmtId="0" xfId="0" applyFont="1" applyBorder="1" applyAlignment="1" applyProtection="1">
      <alignment horizontal="center" vertical="center" wrapText="1"/>
      <protection locked="0"/>
    </xf>
    <xf fontId="2" fillId="0" borderId="4" numFmtId="0" xfId="0" applyFont="1" applyBorder="1" applyAlignment="1" applyProtection="1">
      <alignment horizontal="center" vertical="center" wrapText="1"/>
      <protection locked="0"/>
    </xf>
    <xf fontId="2" fillId="0" borderId="5" numFmtId="0" xfId="0" applyFont="1" applyBorder="1" applyAlignment="1" applyProtection="1">
      <alignment horizontal="center" vertical="center" wrapText="1"/>
      <protection locked="0"/>
    </xf>
    <xf fontId="3" fillId="0" borderId="2" numFmtId="0" xfId="0" applyFont="1" applyBorder="1" applyAlignment="1" applyProtection="1">
      <alignment horizontal="center" vertical="center" wrapText="1"/>
      <protection locked="0"/>
    </xf>
    <xf fontId="4" fillId="2" borderId="2" numFmtId="0" xfId="0" applyFont="1" applyFill="1" applyBorder="1" applyAlignment="1" applyProtection="1">
      <alignment horizontal="center" vertical="center" wrapText="1"/>
      <protection locked="0"/>
    </xf>
    <xf fontId="3" fillId="2" borderId="3" numFmtId="0" xfId="0" applyFont="1" applyFill="1" applyBorder="1" applyAlignment="1" applyProtection="1">
      <alignment horizontal="left" vertical="top" wrapText="1"/>
      <protection locked="0"/>
    </xf>
    <xf fontId="3" fillId="2" borderId="4" numFmtId="0" xfId="0" applyFont="1" applyFill="1" applyBorder="1" applyAlignment="1" applyProtection="1">
      <alignment horizontal="left" vertical="top" wrapText="1"/>
      <protection locked="0"/>
    </xf>
    <xf fontId="3" fillId="2" borderId="5" numFmtId="0" xfId="0" applyFont="1" applyFill="1" applyBorder="1" applyAlignment="1" applyProtection="1">
      <alignment horizontal="left" vertical="top" wrapText="1"/>
      <protection locked="0"/>
    </xf>
    <xf fontId="5" fillId="0" borderId="2" numFmtId="0" xfId="0" applyFont="1" applyBorder="1" applyAlignment="1" applyProtection="1">
      <alignment horizontal="center" vertical="center"/>
      <protection locked="0"/>
    </xf>
    <xf fontId="3" fillId="0" borderId="2" numFmtId="0" xfId="0" applyFont="1" applyBorder="1" applyAlignment="1" applyProtection="1">
      <alignment horizontal="center" vertical="center"/>
      <protection locked="0"/>
    </xf>
    <xf fontId="3" fillId="0" borderId="2" numFmtId="0" xfId="0" applyFont="1" applyBorder="1" applyAlignment="1" applyProtection="1">
      <alignment vertical="center" wrapText="1"/>
      <protection locked="0"/>
    </xf>
    <xf fontId="6" fillId="3" borderId="2" numFmtId="9" xfId="0" applyNumberFormat="1" applyFont="1" applyFill="1" applyBorder="1" applyAlignment="1">
      <alignment horizontal="center" vertical="center"/>
    </xf>
    <xf fontId="7" fillId="0" borderId="2" numFmtId="0" xfId="0" applyFont="1" applyBorder="1" applyAlignment="1" applyProtection="1">
      <alignment vertical="center" wrapText="1"/>
      <protection locked="0"/>
    </xf>
    <xf fontId="4" fillId="0" borderId="2" numFmtId="0" xfId="0" applyFont="1" applyBorder="1" applyAlignment="1" applyProtection="1">
      <alignment vertical="center" wrapText="1"/>
      <protection locked="0"/>
    </xf>
    <xf fontId="3" fillId="0" borderId="2" numFmtId="0" xfId="0" applyFont="1" applyBorder="1" applyAlignment="1" applyProtection="1">
      <alignment horizontal="left" vertical="center" wrapText="1"/>
      <protection locked="0"/>
    </xf>
    <xf fontId="3" fillId="0" borderId="2" numFmtId="0" xfId="0" applyFont="1" applyBorder="1" applyAlignment="1" applyProtection="1">
      <alignment horizontal="left" vertical="center"/>
      <protection locked="0"/>
    </xf>
    <xf fontId="7" fillId="2" borderId="3" numFmtId="0" xfId="0" applyFont="1" applyFill="1" applyBorder="1" applyAlignment="1" applyProtection="1">
      <alignment horizontal="left" vertical="top" wrapText="1"/>
      <protection locked="0"/>
    </xf>
    <xf fontId="7" fillId="2" borderId="4" numFmtId="0" xfId="0" applyFont="1" applyFill="1" applyBorder="1" applyAlignment="1" applyProtection="1">
      <alignment horizontal="left" vertical="top" wrapText="1"/>
      <protection locked="0"/>
    </xf>
    <xf fontId="7" fillId="2" borderId="5" numFmtId="0" xfId="0" applyFont="1" applyFill="1" applyBorder="1" applyAlignment="1" applyProtection="1">
      <alignment horizontal="left" vertical="top" wrapText="1"/>
      <protection locked="0"/>
    </xf>
    <xf fontId="3" fillId="0" borderId="2" numFmtId="0" xfId="0" applyFont="1" applyBorder="1" applyAlignment="1">
      <alignment horizontal="center" vertical="center"/>
    </xf>
    <xf fontId="4" fillId="0" borderId="2" numFmtId="0" xfId="0" applyFont="1" applyBorder="1" applyAlignment="1">
      <alignment horizontal="left" indent="1" vertical="center"/>
    </xf>
    <xf fontId="4" fillId="0" borderId="2" numFmtId="0" xfId="0" applyFont="1" applyBorder="1" applyAlignment="1" applyProtection="1">
      <alignment horizontal="center" vertical="center"/>
      <protection locked="0"/>
    </xf>
    <xf fontId="0" fillId="0" borderId="0" numFmtId="0" xfId="0" applyAlignment="1">
      <alignment horizontal="left"/>
    </xf>
    <xf fontId="0" fillId="0" borderId="0" numFmtId="0" xfId="0" applyAlignment="1" applyProtection="1">
      <alignment horizontal="left"/>
      <protection locked="0"/>
    </xf>
    <xf fontId="1" fillId="0" borderId="0" numFmtId="0" xfId="0" applyFont="1" applyAlignment="1" applyProtection="1">
      <alignment horizontal="left" vertical="center"/>
      <protection locked="0"/>
    </xf>
    <xf fontId="1" fillId="0" borderId="0" numFmtId="0" xfId="0" applyFont="1" applyAlignment="1" applyProtection="1">
      <alignment horizontal="left" vertical="center" wrapText="1"/>
      <protection locked="0"/>
    </xf>
    <xf fontId="1" fillId="0" borderId="0" numFmtId="0" xfId="0" applyFont="1" applyAlignment="1" applyProtection="1">
      <alignment horizontal="left" wrapText="1"/>
      <protection locked="0"/>
    </xf>
    <xf fontId="1" fillId="0" borderId="0" numFmtId="0" xfId="0" applyFont="1" applyAlignment="1" applyProtection="1">
      <alignment horizontal="left"/>
      <protection locked="0"/>
    </xf>
    <xf fontId="1" fillId="0" borderId="0" numFmtId="0" xfId="0" applyFon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haredStrings" Target="sharedStrings.xml"/><Relationship  Id="rId16"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2</v>
      </c>
      <c r="D2" s="11"/>
      <c r="E2" s="11"/>
      <c r="F2" s="11" t="s">
        <v>3</v>
      </c>
      <c r="G2" s="11"/>
      <c r="H2" s="11" t="s">
        <v>4</v>
      </c>
      <c r="I2" s="11"/>
      <c r="J2" s="11"/>
      <c r="K2" s="11"/>
    </row>
    <row r="3" ht="58.799999999999997" customHeight="1">
      <c r="A3" s="7"/>
      <c r="B3" s="12" t="s">
        <v>5</v>
      </c>
      <c r="C3" s="13" t="s">
        <v>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78</v>
      </c>
      <c r="G6" s="17"/>
      <c r="H6" s="19">
        <v>0.29999999999999999</v>
      </c>
      <c r="I6" s="19">
        <v>0.20000000000000001</v>
      </c>
      <c r="J6" s="19">
        <v>0.29999999999999999</v>
      </c>
      <c r="K6" s="19">
        <v>0.25</v>
      </c>
    </row>
    <row r="7" ht="81" customHeight="1">
      <c r="A7" s="7"/>
      <c r="B7" s="11" t="s">
        <v>18</v>
      </c>
      <c r="C7" s="18" t="s">
        <v>19</v>
      </c>
      <c r="D7" s="18"/>
      <c r="E7" s="18"/>
      <c r="F7" s="17">
        <v>83</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77</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80</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79</v>
      </c>
      <c r="E14" s="28" t="str">
        <f t="array" ref="E14">IF(AND(ISNUMBER($D$14),$D$14&gt;0),
    IFERROR(
        _xlfn.IFS(
            $D$14&gt;=90,"績效:優",
            $D$14&gt;=80,"績效:甲",
            $D$14&gt;=70,"績效:乙",
            $D$14&gt;=60,"績效:丙",
            $D$14&gt;=50,"績效:丁",
            $D$14&gt;=1,"績效:戊"
        ),
        ""
    ),
    ""
)</f>
        <v>績效:乙</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BD001B-00DB-4789-B2FD-00A100E9005A}"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EA003C-0013-4504-8799-00A6003A00E2}"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35</v>
      </c>
      <c r="D2" s="11"/>
      <c r="E2" s="11"/>
      <c r="F2" s="11" t="s">
        <v>3</v>
      </c>
      <c r="G2" s="11"/>
      <c r="H2" s="11" t="s">
        <v>4</v>
      </c>
      <c r="I2" s="11"/>
      <c r="J2" s="11"/>
      <c r="K2" s="11"/>
    </row>
    <row r="3" ht="58.799999999999997" customHeight="1">
      <c r="A3" s="7"/>
      <c r="B3" s="12" t="s">
        <v>5</v>
      </c>
      <c r="C3" s="13" t="s">
        <v>36</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89</v>
      </c>
      <c r="G6" s="17"/>
      <c r="H6" s="19">
        <v>0.29999999999999999</v>
      </c>
      <c r="I6" s="19">
        <v>0.20000000000000001</v>
      </c>
      <c r="J6" s="19">
        <v>0.29999999999999999</v>
      </c>
      <c r="K6" s="19">
        <v>0.25</v>
      </c>
    </row>
    <row r="7" ht="81" customHeight="1">
      <c r="A7" s="7"/>
      <c r="B7" s="11" t="s">
        <v>18</v>
      </c>
      <c r="C7" s="18" t="s">
        <v>19</v>
      </c>
      <c r="D7" s="18"/>
      <c r="E7" s="18"/>
      <c r="F7" s="17">
        <v>89</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88</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89</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F10073-008F-45C5-A7DD-007500510027}"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6200EB-002B-4608-BECB-009100EE00C5}"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37</v>
      </c>
      <c r="D2" s="11"/>
      <c r="E2" s="11"/>
      <c r="F2" s="11" t="s">
        <v>3</v>
      </c>
      <c r="G2" s="11"/>
      <c r="H2" s="11" t="s">
        <v>4</v>
      </c>
      <c r="I2" s="11"/>
      <c r="J2" s="11"/>
      <c r="K2" s="11"/>
    </row>
    <row r="3" ht="58.799999999999997" customHeight="1">
      <c r="A3" s="7"/>
      <c r="B3" s="12" t="s">
        <v>5</v>
      </c>
      <c r="C3" s="13" t="s">
        <v>38</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87</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86</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87</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87</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4A005B-00CF-4567-82BC-00B4008C0014}"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3B00F8-00FC-4114-A55A-00C000010009}"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39</v>
      </c>
      <c r="D2" s="11"/>
      <c r="E2" s="11"/>
      <c r="F2" s="11" t="s">
        <v>3</v>
      </c>
      <c r="G2" s="11"/>
      <c r="H2" s="11" t="s">
        <v>4</v>
      </c>
      <c r="I2" s="11"/>
      <c r="J2" s="11"/>
      <c r="K2" s="11"/>
    </row>
    <row r="3" ht="58.799999999999997" customHeight="1">
      <c r="A3" s="7"/>
      <c r="B3" s="12" t="s">
        <v>5</v>
      </c>
      <c r="C3" s="13" t="s">
        <v>40</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92</v>
      </c>
      <c r="G6" s="17"/>
      <c r="H6" s="19">
        <v>0.29999999999999999</v>
      </c>
      <c r="I6" s="19">
        <v>0.20000000000000001</v>
      </c>
      <c r="J6" s="19">
        <v>0.29999999999999999</v>
      </c>
      <c r="K6" s="19">
        <v>0.25</v>
      </c>
    </row>
    <row r="7" ht="81" customHeight="1">
      <c r="A7" s="7"/>
      <c r="B7" s="11" t="s">
        <v>18</v>
      </c>
      <c r="C7" s="18" t="s">
        <v>19</v>
      </c>
      <c r="D7" s="18"/>
      <c r="E7" s="18"/>
      <c r="F7" s="17">
        <v>87</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41</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90</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C10003-004A-4CFC-9E0B-00D7006D004D}"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D400A3-0023-4DBF-B659-003800940038}"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42</v>
      </c>
      <c r="D2" s="11"/>
      <c r="E2" s="11"/>
      <c r="F2" s="11" t="s">
        <v>3</v>
      </c>
      <c r="G2" s="11"/>
      <c r="H2" s="11" t="s">
        <v>4</v>
      </c>
      <c r="I2" s="11"/>
      <c r="J2" s="11"/>
      <c r="K2" s="11"/>
    </row>
    <row r="3" ht="58.799999999999997" customHeight="1">
      <c r="A3" s="7"/>
      <c r="B3" s="12" t="s">
        <v>5</v>
      </c>
      <c r="C3" s="13" t="s">
        <v>43</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87</v>
      </c>
      <c r="G6" s="17"/>
      <c r="H6" s="19">
        <v>0.29999999999999999</v>
      </c>
      <c r="I6" s="19">
        <v>0.20000000000000001</v>
      </c>
      <c r="J6" s="19">
        <v>0.29999999999999999</v>
      </c>
      <c r="K6" s="19">
        <v>0.25</v>
      </c>
    </row>
    <row r="7" ht="81" customHeight="1">
      <c r="A7" s="7"/>
      <c r="B7" s="11" t="s">
        <v>18</v>
      </c>
      <c r="C7" s="18" t="s">
        <v>19</v>
      </c>
      <c r="D7" s="18"/>
      <c r="E7" s="18"/>
      <c r="F7" s="17">
        <v>86</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85</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86</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86</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2F0061-00CD-4F26-8077-0072005700B0}"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6A001F-0034-481D-9522-003C002100CF}"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44</v>
      </c>
      <c r="D2" s="11"/>
      <c r="E2" s="11"/>
      <c r="F2" s="11" t="s">
        <v>3</v>
      </c>
      <c r="G2" s="11"/>
      <c r="H2" s="11" t="s">
        <v>4</v>
      </c>
      <c r="I2" s="11"/>
      <c r="J2" s="11"/>
      <c r="K2" s="11"/>
    </row>
    <row r="3" ht="58.799999999999997" customHeight="1">
      <c r="A3" s="7"/>
      <c r="B3" s="12" t="s">
        <v>5</v>
      </c>
      <c r="C3" s="13" t="s">
        <v>45</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92</v>
      </c>
      <c r="G6" s="17"/>
      <c r="H6" s="19">
        <v>0.29999999999999999</v>
      </c>
      <c r="I6" s="19">
        <v>0.20000000000000001</v>
      </c>
      <c r="J6" s="19">
        <v>0.29999999999999999</v>
      </c>
      <c r="K6" s="19">
        <v>0.25</v>
      </c>
    </row>
    <row r="7" ht="81" customHeight="1">
      <c r="A7" s="7"/>
      <c r="B7" s="11" t="s">
        <v>18</v>
      </c>
      <c r="C7" s="18" t="s">
        <v>19</v>
      </c>
      <c r="D7" s="18"/>
      <c r="E7" s="18"/>
      <c r="F7" s="17">
        <v>87</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t="s">
        <v>46</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90</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790060-0080-4040-B57F-007C00F600A2}"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6B00A8-005C-4FBB-9451-00B900980014}"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47</v>
      </c>
      <c r="D2" s="11"/>
      <c r="E2" s="11"/>
      <c r="F2" s="11" t="s">
        <v>3</v>
      </c>
      <c r="G2" s="11"/>
      <c r="H2" s="11" t="s">
        <v>4</v>
      </c>
      <c r="I2" s="11"/>
      <c r="J2" s="11"/>
      <c r="K2" s="11"/>
    </row>
    <row r="3" ht="58.799999999999997" customHeight="1">
      <c r="A3" s="7"/>
      <c r="B3" s="12" t="s">
        <v>5</v>
      </c>
      <c r="C3" s="13" t="s">
        <v>48</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91</v>
      </c>
      <c r="G6" s="17"/>
      <c r="H6" s="19">
        <v>0.29999999999999999</v>
      </c>
      <c r="I6" s="19">
        <v>0.20000000000000001</v>
      </c>
      <c r="J6" s="19">
        <v>0.29999999999999999</v>
      </c>
      <c r="K6" s="19">
        <v>0.25</v>
      </c>
    </row>
    <row r="7" ht="81" customHeight="1">
      <c r="A7" s="7"/>
      <c r="B7" s="11" t="s">
        <v>18</v>
      </c>
      <c r="C7" s="18" t="s">
        <v>19</v>
      </c>
      <c r="D7" s="18"/>
      <c r="E7" s="18"/>
      <c r="F7" s="17">
        <v>87</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90</v>
      </c>
      <c r="G9" s="17"/>
      <c r="H9" s="19">
        <v>0.29999999999999999</v>
      </c>
      <c r="I9" s="19">
        <v>0.5</v>
      </c>
      <c r="J9" s="19">
        <v>0.29999999999999999</v>
      </c>
      <c r="K9" s="19">
        <v>0.5</v>
      </c>
    </row>
    <row r="10" ht="50.399999999999999" customHeight="1">
      <c r="A10" s="7"/>
      <c r="B10" s="22"/>
      <c r="C10" s="22"/>
      <c r="D10" s="22"/>
      <c r="E10" s="23"/>
      <c r="F10" s="23"/>
      <c r="G10" s="23"/>
      <c r="H10" s="19">
        <f>SUM(H6:H9)</f>
        <v>1</v>
      </c>
      <c r="I10" s="19">
        <f>SUM(I6:I9)</f>
        <v>1</v>
      </c>
      <c r="J10" s="19">
        <f>SUM(J6:J9)</f>
        <v>1</v>
      </c>
      <c r="K10" s="19">
        <f>SUM(K6:K9)</f>
        <v>1</v>
      </c>
    </row>
    <row r="11" ht="43.200000000000003" customHeight="1">
      <c r="A11" s="7"/>
      <c r="B11" s="24" t="s">
        <v>49</v>
      </c>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89</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90</v>
      </c>
      <c r="E14" s="28" t="str">
        <f t="array" ref="E14">IF(AND(ISNUMBER($D$14),$D$14&gt;0),
    IFERROR(
        _xlfn.IFS(
            $D$14&gt;=90,"績效:優",
            $D$14&gt;=80,"績效:甲",
            $D$14&gt;=70,"績效:乙",
            $D$14&gt;=60,"績效:丙",
            $D$14&gt;=50,"績效:丁",
            $D$14&gt;=1,"績效:戊"
        ),
        ""
    ),
    ""
)</f>
        <v>績效:優</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B60008-00E4-4BE7-B23D-0083001A00B3}"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1B008E-00B9-4679-9D0C-009A00450006}"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50</v>
      </c>
      <c r="D2" s="11"/>
      <c r="E2" s="11"/>
      <c r="F2" s="11" t="s">
        <v>3</v>
      </c>
      <c r="G2" s="11"/>
      <c r="H2" s="11" t="s">
        <v>4</v>
      </c>
      <c r="I2" s="11"/>
      <c r="J2" s="11"/>
      <c r="K2" s="11"/>
    </row>
    <row r="3" ht="58.799999999999997" customHeight="1">
      <c r="A3" s="7"/>
      <c r="B3" s="12" t="s">
        <v>5</v>
      </c>
      <c r="C3" s="13" t="s">
        <v>51</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87</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86</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87</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87</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9F0068-001A-4A8A-ACD8-00BA000A00AF}"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3200D9-001B-487E-9360-0073002200B2}"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52</v>
      </c>
      <c r="D2" s="11"/>
      <c r="E2" s="11"/>
      <c r="F2" s="11" t="s">
        <v>3</v>
      </c>
      <c r="G2" s="11"/>
      <c r="H2" s="11" t="s">
        <v>4</v>
      </c>
      <c r="I2" s="11"/>
      <c r="J2" s="11"/>
      <c r="K2" s="11"/>
    </row>
    <row r="3" ht="58.799999999999997" customHeight="1">
      <c r="A3" s="7"/>
      <c r="B3" s="12" t="s">
        <v>5</v>
      </c>
      <c r="C3" s="13" t="s">
        <v>53</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88</v>
      </c>
      <c r="G6" s="17"/>
      <c r="H6" s="19">
        <v>0.29999999999999999</v>
      </c>
      <c r="I6" s="19">
        <v>0.20000000000000001</v>
      </c>
      <c r="J6" s="19">
        <v>0.29999999999999999</v>
      </c>
      <c r="K6" s="19">
        <v>0.25</v>
      </c>
    </row>
    <row r="7" ht="81" customHeight="1">
      <c r="A7" s="7"/>
      <c r="B7" s="11" t="s">
        <v>18</v>
      </c>
      <c r="C7" s="18" t="s">
        <v>19</v>
      </c>
      <c r="D7" s="18"/>
      <c r="E7" s="18"/>
      <c r="F7" s="17">
        <v>84</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85</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86</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86</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4600D3-0014-4040-A838-000B005C0035}"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D500EE-00F8-4626-88B4-006A006D0059}"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54</v>
      </c>
      <c r="D2" s="11"/>
      <c r="E2" s="11"/>
      <c r="F2" s="11" t="s">
        <v>3</v>
      </c>
      <c r="G2" s="11"/>
      <c r="H2" s="11" t="s">
        <v>4</v>
      </c>
      <c r="I2" s="11"/>
      <c r="J2" s="11"/>
      <c r="K2" s="11"/>
    </row>
    <row r="3" ht="58.799999999999997" customHeight="1">
      <c r="A3" s="7"/>
      <c r="B3" s="12" t="s">
        <v>5</v>
      </c>
      <c r="C3" s="13" t="s">
        <v>55</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86</v>
      </c>
      <c r="G6" s="17"/>
      <c r="H6" s="19">
        <v>0.29999999999999999</v>
      </c>
      <c r="I6" s="19">
        <v>0.20000000000000001</v>
      </c>
      <c r="J6" s="19">
        <v>0.29999999999999999</v>
      </c>
      <c r="K6" s="19">
        <v>0.25</v>
      </c>
    </row>
    <row r="7" ht="81" customHeight="1">
      <c r="A7" s="7"/>
      <c r="B7" s="11" t="s">
        <v>18</v>
      </c>
      <c r="C7" s="18" t="s">
        <v>19</v>
      </c>
      <c r="D7" s="18"/>
      <c r="E7" s="18"/>
      <c r="F7" s="17">
        <v>87</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85</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86</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86</v>
      </c>
      <c r="E14" s="28" t="str">
        <f t="array" ref="E14">IF(AND(ISNUMBER($D$14),$D$14&gt;0),
    IFERROR(
        _xlfn.IFS(
            $D$14&gt;=90,"績效:優",
            $D$14&gt;=80,"績效:甲",
            $D$14&gt;=70,"績效:乙",
            $D$14&gt;=60,"績效:丙",
            $D$14&gt;=50,"績效:丁",
            $D$14&gt;=1,"績效:戊"
        ),
        ""
    ),
    ""
)</f>
        <v>績效:甲</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74002C-002D-41C2-8282-00C400A80002}"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EF00FF-00BA-48BA-B4BF-00E1009F004F}"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56</v>
      </c>
      <c r="D2" s="11"/>
      <c r="E2" s="11"/>
      <c r="F2" s="11" t="s">
        <v>3</v>
      </c>
      <c r="G2" s="11"/>
      <c r="H2" s="11" t="s">
        <v>4</v>
      </c>
      <c r="I2" s="11"/>
      <c r="J2" s="11"/>
      <c r="K2" s="11"/>
    </row>
    <row r="3" ht="58.799999999999997" customHeight="1">
      <c r="A3" s="7"/>
      <c r="B3" s="12" t="s">
        <v>5</v>
      </c>
      <c r="C3" s="13" t="s">
        <v>57</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77</v>
      </c>
      <c r="G6" s="17"/>
      <c r="H6" s="19">
        <v>0.29999999999999999</v>
      </c>
      <c r="I6" s="19">
        <v>0.20000000000000001</v>
      </c>
      <c r="J6" s="19">
        <v>0.29999999999999999</v>
      </c>
      <c r="K6" s="19">
        <v>0.25</v>
      </c>
    </row>
    <row r="7" ht="81" customHeight="1">
      <c r="A7" s="7"/>
      <c r="B7" s="11" t="s">
        <v>18</v>
      </c>
      <c r="C7" s="18" t="s">
        <v>19</v>
      </c>
      <c r="D7" s="18"/>
      <c r="E7" s="18"/>
      <c r="F7" s="17">
        <v>82</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79</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80</v>
      </c>
      <c r="E13" s="28" t="str">
        <f t="array" ref="E13">IF(AND(ISNUMBER($D$13),$D$13&gt;0),
    IFERROR(
        _xlfn.IFS(
            $D$13&gt;=90,"考核:優",
            $D$13&gt;=80,"考核:甲",
            $D$13&gt;=70,"考核:乙",
            $D$13&gt;=60,"考核:丙",
            $D$13&gt;=50,"考核:丁",
            $D$13&gt;=1,"考核:戊"
        ),
        ""
    ),
    ""
)</f>
        <v>考核:甲</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79</v>
      </c>
      <c r="E14" s="28" t="str">
        <f t="array" ref="E14">IF(AND(ISNUMBER($D$14),$D$14&gt;0),
    IFERROR(
        _xlfn.IFS(
            $D$14&gt;=90,"績效:優",
            $D$14&gt;=80,"績效:甲",
            $D$14&gt;=70,"績效:乙",
            $D$14&gt;=60,"績效:丙",
            $D$14&gt;=50,"績效:丁",
            $D$14&gt;=1,"績效:戊"
        ),
        ""
    ),
    ""
)</f>
        <v>績效:乙</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78009D-00DE-4C1F-BEFF-000B000B0016}"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020046-0038-47FF-8CA5-004A0007004B}"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3" activeCellId="0" sqref="C3"/>
    </sheetView>
  </sheetViews>
  <sheetFormatPr defaultColWidth="11.25" defaultRowHeight="14.25"/>
  <cols>
    <col customWidth="1" hidden="1" min="1" max="1" style="1" width="0.125"/>
    <col customWidth="1" min="2" max="2" style="2" width="16.875"/>
    <col customWidth="1" min="3" max="3" style="2" width="18.625"/>
    <col customWidth="1" hidden="1" min="4" max="4" style="2" width="5.5"/>
    <col customWidth="1" min="5" max="5" style="3" width="32.75"/>
    <col customWidth="1" min="6" max="6" style="4" width="5.75"/>
    <col customWidth="1" min="7" max="7" style="4" width="7.25"/>
    <col customWidth="1" min="8" max="10" style="5" width="6.625"/>
    <col customWidth="1" min="11" max="11" style="5" width="7.125"/>
    <col customWidth="1" min="12" max="16384" style="1" width="11.25"/>
  </cols>
  <sheetData>
    <row r="1" s="6" customFormat="1" ht="36.600000000000001" customHeight="1">
      <c r="A1" s="7"/>
      <c r="B1" s="8" t="s">
        <v>0</v>
      </c>
      <c r="C1" s="9"/>
      <c r="D1" s="9"/>
      <c r="E1" s="9"/>
      <c r="F1" s="9"/>
      <c r="G1" s="9"/>
      <c r="H1" s="9"/>
      <c r="I1" s="9"/>
      <c r="J1" s="9"/>
      <c r="K1" s="10"/>
    </row>
    <row r="2" ht="35.25" customHeight="1">
      <c r="A2" s="7"/>
      <c r="B2" s="11" t="s">
        <v>1</v>
      </c>
      <c r="C2" s="11" t="s">
        <v>58</v>
      </c>
      <c r="D2" s="11"/>
      <c r="E2" s="11"/>
      <c r="F2" s="11" t="s">
        <v>3</v>
      </c>
      <c r="G2" s="11"/>
      <c r="H2" s="11" t="s">
        <v>4</v>
      </c>
      <c r="I2" s="11"/>
      <c r="J2" s="11"/>
      <c r="K2" s="11"/>
    </row>
    <row r="3" ht="58.799999999999997" customHeight="1">
      <c r="A3" s="7"/>
      <c r="B3" s="12" t="s">
        <v>5</v>
      </c>
      <c r="C3" s="13" t="s">
        <v>59</v>
      </c>
      <c r="D3" s="14"/>
      <c r="E3" s="14"/>
      <c r="F3" s="14"/>
      <c r="G3" s="14"/>
      <c r="H3" s="14"/>
      <c r="I3" s="14"/>
      <c r="J3" s="14"/>
      <c r="K3" s="15"/>
    </row>
    <row r="4" ht="35.25" customHeight="1">
      <c r="A4" s="7"/>
      <c r="B4" s="12" t="s">
        <v>7</v>
      </c>
      <c r="C4" s="12" t="s">
        <v>8</v>
      </c>
      <c r="D4" s="12"/>
      <c r="E4" s="12"/>
      <c r="F4" s="12"/>
      <c r="G4" s="12"/>
      <c r="H4" s="16" t="s">
        <v>9</v>
      </c>
      <c r="I4" s="16"/>
      <c r="J4" s="16" t="s">
        <v>10</v>
      </c>
      <c r="K4" s="16"/>
    </row>
    <row r="5" ht="30" customHeight="1">
      <c r="A5" s="7"/>
      <c r="B5" s="11" t="s">
        <v>11</v>
      </c>
      <c r="C5" s="17" t="s">
        <v>12</v>
      </c>
      <c r="D5" s="17"/>
      <c r="E5" s="17"/>
      <c r="F5" s="17" t="s">
        <v>13</v>
      </c>
      <c r="G5" s="17"/>
      <c r="H5" s="16" t="s">
        <v>14</v>
      </c>
      <c r="I5" s="16" t="s">
        <v>15</v>
      </c>
      <c r="J5" s="16" t="s">
        <v>14</v>
      </c>
      <c r="K5" s="16" t="s">
        <v>15</v>
      </c>
    </row>
    <row r="6" ht="64.5" customHeight="1">
      <c r="A6" s="7"/>
      <c r="B6" s="11" t="s">
        <v>16</v>
      </c>
      <c r="C6" s="18" t="s">
        <v>17</v>
      </c>
      <c r="D6" s="18"/>
      <c r="E6" s="18"/>
      <c r="F6" s="17">
        <v>79</v>
      </c>
      <c r="G6" s="17"/>
      <c r="H6" s="19">
        <v>0.29999999999999999</v>
      </c>
      <c r="I6" s="19">
        <v>0.20000000000000001</v>
      </c>
      <c r="J6" s="19">
        <v>0.29999999999999999</v>
      </c>
      <c r="K6" s="19">
        <v>0.25</v>
      </c>
    </row>
    <row r="7" ht="81" customHeight="1">
      <c r="A7" s="7"/>
      <c r="B7" s="11" t="s">
        <v>18</v>
      </c>
      <c r="C7" s="18" t="s">
        <v>19</v>
      </c>
      <c r="D7" s="18"/>
      <c r="E7" s="18"/>
      <c r="F7" s="17">
        <v>79</v>
      </c>
      <c r="G7" s="17"/>
      <c r="H7" s="19">
        <v>0.29999999999999999</v>
      </c>
      <c r="I7" s="19">
        <v>0.20000000000000001</v>
      </c>
      <c r="J7" s="19">
        <v>0.40000000000000002</v>
      </c>
      <c r="K7" s="19">
        <v>0.25</v>
      </c>
    </row>
    <row r="8" ht="53.399999999999999" customHeight="1">
      <c r="A8" s="7"/>
      <c r="B8" s="11" t="s">
        <v>20</v>
      </c>
      <c r="C8" s="20" t="s">
        <v>21</v>
      </c>
      <c r="D8" s="21"/>
      <c r="E8" s="18"/>
      <c r="F8" s="17"/>
      <c r="G8" s="17"/>
      <c r="H8" s="19">
        <v>0.10000000000000001</v>
      </c>
      <c r="I8" s="19">
        <v>0.10000000000000001</v>
      </c>
      <c r="J8" s="19">
        <v>0</v>
      </c>
      <c r="K8" s="19">
        <v>0</v>
      </c>
    </row>
    <row r="9" ht="40.200000000000003" customHeight="1">
      <c r="A9" s="7"/>
      <c r="B9" s="11" t="s">
        <v>22</v>
      </c>
      <c r="C9" s="18" t="s">
        <v>23</v>
      </c>
      <c r="D9" s="18"/>
      <c r="E9" s="18"/>
      <c r="F9" s="17">
        <v>78</v>
      </c>
      <c r="G9" s="17"/>
      <c r="H9" s="19">
        <v>0.29999999999999999</v>
      </c>
      <c r="I9" s="19">
        <v>0.5</v>
      </c>
      <c r="J9" s="19">
        <v>0.29999999999999999</v>
      </c>
      <c r="K9" s="19">
        <v>0.5</v>
      </c>
    </row>
    <row r="10" ht="50.399999999999999" customHeight="1">
      <c r="A10" s="7"/>
      <c r="B10" s="22" t="s">
        <v>24</v>
      </c>
      <c r="C10" s="22"/>
      <c r="D10" s="22"/>
      <c r="E10" s="23"/>
      <c r="F10" s="23"/>
      <c r="G10" s="23"/>
      <c r="H10" s="19">
        <f>SUM(H6:H9)</f>
        <v>1</v>
      </c>
      <c r="I10" s="19">
        <f>SUM(I6:I9)</f>
        <v>1</v>
      </c>
      <c r="J10" s="19">
        <f>SUM(J6:J9)</f>
        <v>1</v>
      </c>
      <c r="K10" s="19">
        <f>SUM(K6:K9)</f>
        <v>1</v>
      </c>
    </row>
    <row r="11" ht="43.200000000000003" customHeight="1">
      <c r="A11" s="7"/>
      <c r="B11" s="24"/>
      <c r="C11" s="25"/>
      <c r="D11" s="25"/>
      <c r="E11" s="25"/>
      <c r="F11" s="25"/>
      <c r="G11" s="25"/>
      <c r="H11" s="25"/>
      <c r="I11" s="25"/>
      <c r="J11" s="25"/>
      <c r="K11" s="26"/>
    </row>
    <row r="12" ht="31.800000000000001" customHeight="1">
      <c r="A12" s="7"/>
      <c r="B12" s="17" t="s">
        <v>25</v>
      </c>
      <c r="C12" s="17"/>
      <c r="D12" s="17"/>
      <c r="E12" s="17"/>
      <c r="F12" s="17" t="s">
        <v>26</v>
      </c>
      <c r="G12" s="17"/>
      <c r="H12" s="17"/>
      <c r="I12" s="17"/>
      <c r="J12" s="17"/>
      <c r="K12" s="17"/>
    </row>
    <row r="13" ht="30" customHeight="1">
      <c r="A13" s="7"/>
      <c r="B13" s="17" t="s">
        <v>14</v>
      </c>
      <c r="C13" s="17"/>
      <c r="D13" s="27">
        <f>IFERROR(
            IF(
                INDEX(參數!$A:$D, MATCH(C2, 參數!$B:$B, 0), 4) = "員工",
                ROUND(SUM(F6*J6, F7*J7, F8*J8, F9*J9), 0),
                IF(
                    INDEX(參數!$A:$D, MATCH(C2, 參數!$B:$B, 0), 4) = "主管",
                    ROUND(SUM(F6*H6, F7*H7, F8*H8, F9*H9), 0),
                    ""
                )
            ),
            ""
        )</f>
        <v>79</v>
      </c>
      <c r="E13" s="28" t="str">
        <f t="array" ref="E13">IF(AND(ISNUMBER($D$13),$D$13&gt;0),
    IFERROR(
        _xlfn.IFS(
            $D$13&gt;=90,"考核:優",
            $D$13&gt;=80,"考核:甲",
            $D$13&gt;=70,"考核:乙",
            $D$13&gt;=60,"考核:丙",
            $D$13&gt;=50,"考核:丁",
            $D$13&gt;=1,"考核:戊"
        ),
        ""
    ),
    ""
)</f>
        <v>考核:乙</v>
      </c>
      <c r="F13" s="29"/>
      <c r="G13" s="29"/>
      <c r="H13" s="29"/>
      <c r="I13" s="29"/>
      <c r="J13" s="29"/>
      <c r="K13" s="29"/>
    </row>
    <row r="14" ht="30" customHeight="1">
      <c r="A14" s="7"/>
      <c r="B14" s="17" t="s">
        <v>15</v>
      </c>
      <c r="C14" s="17"/>
      <c r="D14" s="27">
        <f>IFERROR(
        IF(
            INDEX(參數!$A:$D, MATCH(C2, 參數!$B:$B, 0), 4) = "員工",
            ROUND(SUM(F6*K6, F7*K7, F8*K8, F9*K9), 0),
            IF(
                INDEX(參數!$A:$D, MATCH(C2, 參數!$B:$B, 0), 4) = "主管",
                ROUND(SUM(F6*I6, F7*I7, F8*I8, F9*I9), 0),
                ""
            )
        ),
        ""
    )</f>
        <v>79</v>
      </c>
      <c r="E14" s="28" t="str">
        <f t="array" ref="E14">IF(AND(ISNUMBER($D$14),$D$14&gt;0),
    IFERROR(
        _xlfn.IFS(
            $D$14&gt;=90,"績效:優",
            $D$14&gt;=80,"績效:甲",
            $D$14&gt;=70,"績效:乙",
            $D$14&gt;=60,"績效:丙",
            $D$14&gt;=50,"績效:丁",
            $D$14&gt;=1,"績效:戊"
        ),
        ""
    ),
    ""
)</f>
        <v>績效:乙</v>
      </c>
      <c r="F14" s="29"/>
      <c r="G14" s="29"/>
      <c r="H14" s="29"/>
      <c r="I14" s="29"/>
      <c r="J14" s="29"/>
      <c r="K14" s="29"/>
    </row>
    <row r="15" s="30" customFormat="1" ht="19.199999999999999" customHeight="1">
      <c r="A15" s="31"/>
      <c r="B15" s="32" t="s">
        <v>27</v>
      </c>
      <c r="C15" s="33"/>
      <c r="D15" s="33"/>
      <c r="E15" s="33"/>
      <c r="F15" s="34"/>
      <c r="G15" s="35"/>
      <c r="H15" s="5"/>
      <c r="I15" s="5"/>
      <c r="J15" s="5"/>
      <c r="K15" s="5"/>
    </row>
    <row r="16" s="30" customFormat="1" ht="15.75">
      <c r="A16" s="31"/>
      <c r="B16" s="32" t="s">
        <v>28</v>
      </c>
      <c r="C16" s="33"/>
      <c r="D16" s="33"/>
      <c r="E16" s="33"/>
      <c r="F16" s="35"/>
      <c r="G16" s="35"/>
      <c r="H16" s="5"/>
      <c r="I16" s="5"/>
      <c r="J16" s="5"/>
      <c r="K16" s="5"/>
    </row>
    <row r="17" s="30" customFormat="1" ht="15.75">
      <c r="A17" s="31"/>
      <c r="B17" s="32" t="s">
        <v>29</v>
      </c>
      <c r="C17" s="33"/>
      <c r="D17" s="33"/>
      <c r="E17" s="33"/>
      <c r="F17" s="35"/>
      <c r="G17" s="35"/>
      <c r="H17" s="5"/>
      <c r="I17" s="5"/>
      <c r="J17" s="5"/>
      <c r="K17" s="5"/>
    </row>
    <row r="18" s="30" customFormat="1" ht="15.75">
      <c r="A18" s="31"/>
      <c r="B18" s="32" t="s">
        <v>30</v>
      </c>
      <c r="C18" s="33"/>
      <c r="D18" s="33"/>
      <c r="E18" s="33"/>
      <c r="F18" s="35"/>
      <c r="G18" s="35"/>
      <c r="H18" s="5"/>
      <c r="I18" s="5"/>
      <c r="J18" s="5"/>
      <c r="K18" s="5"/>
    </row>
    <row r="19" s="30" customFormat="1" ht="15.75">
      <c r="A19" s="31"/>
      <c r="B19" s="32" t="s">
        <v>31</v>
      </c>
      <c r="C19" s="33"/>
      <c r="D19" s="33"/>
      <c r="E19" s="33"/>
      <c r="F19" s="35"/>
      <c r="G19" s="35"/>
      <c r="H19" s="5"/>
      <c r="I19" s="5"/>
      <c r="J19" s="5"/>
      <c r="K19" s="5"/>
    </row>
    <row r="20" s="30" customFormat="1" ht="15.75">
      <c r="A20" s="31"/>
      <c r="B20" s="32" t="s">
        <v>32</v>
      </c>
      <c r="C20" s="33"/>
      <c r="D20" s="33"/>
      <c r="E20" s="33"/>
      <c r="F20" s="35"/>
      <c r="G20" s="35"/>
      <c r="H20" s="5"/>
      <c r="I20" s="5"/>
      <c r="J20" s="5"/>
      <c r="K20" s="5"/>
    </row>
    <row r="21" s="30" customFormat="1" ht="15.75">
      <c r="A21" s="31"/>
      <c r="B21" s="32" t="s">
        <v>33</v>
      </c>
      <c r="C21" s="33"/>
      <c r="D21" s="33"/>
      <c r="E21" s="33"/>
      <c r="F21" s="35"/>
      <c r="G21" s="35"/>
      <c r="H21" s="5"/>
      <c r="I21" s="5"/>
      <c r="J21" s="5"/>
      <c r="K21" s="5"/>
    </row>
    <row r="22" s="30" customFormat="1" ht="15.75">
      <c r="A22" s="31"/>
      <c r="B22" s="32" t="s">
        <v>34</v>
      </c>
      <c r="C22" s="33"/>
      <c r="D22" s="33"/>
      <c r="E22" s="33"/>
      <c r="F22" s="35"/>
      <c r="G22" s="35"/>
      <c r="H22" s="5"/>
      <c r="I22" s="5"/>
      <c r="J22" s="5"/>
      <c r="K22" s="5"/>
    </row>
    <row r="23" s="30" customFormat="1" ht="15.75">
      <c r="A23" s="31"/>
      <c r="B23" s="32"/>
      <c r="C23" s="33"/>
      <c r="D23" s="33"/>
      <c r="E23" s="33"/>
      <c r="F23" s="35"/>
      <c r="G23" s="35"/>
      <c r="H23" s="5"/>
      <c r="I23" s="5"/>
      <c r="J23" s="5"/>
      <c r="K23" s="5"/>
    </row>
    <row r="24" ht="15.75">
      <c r="B24" s="36"/>
    </row>
    <row r="25" ht="15.75">
      <c r="B25" s="36"/>
    </row>
  </sheetData>
  <sheetProtection algorithmName="SHA-512" hashValue="sud+7KdRLtHaF9VWF9cLLHfsauePBItjrCqbtPJLrNXOS4vkuJC8YaZNTYotlkiuBwSp6FkYHn5wIj/0zYb+hA==" saltValue="RaMnQr/iLgXdU365KLCAgg==" spinCount="100000" autoFilter="1" deleteColumns="1" deleteRows="1" formatCells="0" formatColumns="1" formatRows="1" insertColumns="1" insertHyperlinks="1" insertRows="1" objects="0" pivotTables="1" scenarios="0" selectLockedCells="1" selectUnlockedCells="0" sheet="1" sort="1"/>
  <mergeCells count="26">
    <mergeCell ref="B1:K1"/>
    <mergeCell ref="C2:E2"/>
    <mergeCell ref="F2:G2"/>
    <mergeCell ref="H2:K2"/>
    <mergeCell ref="C3:K3"/>
    <mergeCell ref="C4:G4"/>
    <mergeCell ref="H4:I4"/>
    <mergeCell ref="J4:K4"/>
    <mergeCell ref="C5:E5"/>
    <mergeCell ref="F5:G5"/>
    <mergeCell ref="C6:E6"/>
    <mergeCell ref="F6:G6"/>
    <mergeCell ref="C7:E7"/>
    <mergeCell ref="F7:G7"/>
    <mergeCell ref="C8:E8"/>
    <mergeCell ref="F8:G8"/>
    <mergeCell ref="C9:E9"/>
    <mergeCell ref="F9:G9"/>
    <mergeCell ref="B10:G10"/>
    <mergeCell ref="B11:K11"/>
    <mergeCell ref="B12:E12"/>
    <mergeCell ref="F12:K12"/>
    <mergeCell ref="B13:C13"/>
    <mergeCell ref="F13:K13"/>
    <mergeCell ref="B14:C14"/>
    <mergeCell ref="F14:K14"/>
  </mergeCells>
  <printOptions headings="0" gridLines="0" horizontalCentered="1"/>
  <pageMargins left="0.03937007874015748" right="0.03937007874015748" top="0.55118110236220474" bottom="0.74803149606299213" header="0.31496062992125984" footer="0.31496062992125984"/>
  <pageSetup paperSize="9" scale="100" firstPageNumber="1" fitToWidth="1" fitToHeight="1" pageOrder="downThenOver" orientation="portrait" usePrinterDefaults="1" blackAndWhite="0" draft="0" cellComments="none" useFirstPageNumber="1" errors="displayed" horizontalDpi="2147483648" verticalDpi="2147483648" copies="1"/>
  <headerFooter/>
  <extLst>
    <ext xmlns:x14="http://schemas.microsoft.com/office/spreadsheetml/2009/9/main" uri="{CCE6A557-97BC-4b89-ADB6-D9C93CAAB3DF}">
      <x14:dataValidations xmlns:xm="http://schemas.microsoft.com/office/excel/2006/main" count="2" disablePrompts="0">
        <x14:dataValidation xr:uid="{00870016-00BB-4F38-A5F6-008F000B00E0}" type="whole" allowBlank="1" error="請輸入0-100之間" errorStyle="stop" imeMode="noControl" operator="between" prompt="請輸入0-100之間" showDropDown="0" showErrorMessage="1" showInputMessage="1">
          <x14:formula1>
            <xm:f>0</xm:f>
          </x14:formula1>
          <x14:formula2>
            <xm:f>100</xm:f>
          </x14:formula2>
          <xm:sqref>F6</xm:sqref>
        </x14:dataValidation>
        <x14:dataValidation xr:uid="{00C90003-0054-4CB2-830E-005400F8005A}" type="whole" allowBlank="1" error="請輸入0-100之間" errorStyle="stop" imeMode="noControl" operator="between" showDropDown="0" showErrorMessage="1" showInputMessage="1">
          <x14:formula1>
            <xm:f>0</xm:f>
          </x14:formula1>
          <x14:formula2>
            <xm:f>100</xm:f>
          </x14:formula2>
          <xm:sqref>F7:F9</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c r="A1" t="s">
        <v>60</v>
      </c>
      <c r="B1" t="s">
        <v>2</v>
      </c>
      <c r="C1" t="s">
        <v>4</v>
      </c>
      <c r="D1" t="s">
        <v>10</v>
      </c>
    </row>
    <row r="2">
      <c r="A2" t="s">
        <v>61</v>
      </c>
      <c r="B2" t="s">
        <v>35</v>
      </c>
      <c r="C2" t="s">
        <v>4</v>
      </c>
      <c r="D2" t="s">
        <v>10</v>
      </c>
    </row>
    <row r="3">
      <c r="A3" t="s">
        <v>62</v>
      </c>
      <c r="B3" t="s">
        <v>37</v>
      </c>
      <c r="C3" t="s">
        <v>4</v>
      </c>
      <c r="D3" t="s">
        <v>10</v>
      </c>
    </row>
    <row r="4">
      <c r="A4" t="s">
        <v>63</v>
      </c>
      <c r="B4" t="s">
        <v>39</v>
      </c>
      <c r="C4" t="s">
        <v>4</v>
      </c>
      <c r="D4" t="s">
        <v>10</v>
      </c>
    </row>
    <row r="5">
      <c r="A5" t="s">
        <v>64</v>
      </c>
      <c r="B5" t="s">
        <v>42</v>
      </c>
      <c r="C5" t="s">
        <v>4</v>
      </c>
      <c r="D5" t="s">
        <v>10</v>
      </c>
    </row>
    <row r="6">
      <c r="A6" t="s">
        <v>65</v>
      </c>
      <c r="B6" t="s">
        <v>44</v>
      </c>
      <c r="C6" t="s">
        <v>4</v>
      </c>
      <c r="D6" t="s">
        <v>10</v>
      </c>
    </row>
    <row r="7">
      <c r="A7" t="s">
        <v>66</v>
      </c>
      <c r="B7" t="s">
        <v>47</v>
      </c>
      <c r="C7" t="s">
        <v>4</v>
      </c>
      <c r="D7" t="s">
        <v>10</v>
      </c>
    </row>
    <row r="8">
      <c r="A8" t="s">
        <v>67</v>
      </c>
      <c r="B8" t="s">
        <v>50</v>
      </c>
      <c r="C8" t="s">
        <v>4</v>
      </c>
      <c r="D8" t="s">
        <v>10</v>
      </c>
    </row>
    <row r="9">
      <c r="A9" t="s">
        <v>68</v>
      </c>
      <c r="B9" t="s">
        <v>52</v>
      </c>
      <c r="C9" t="s">
        <v>4</v>
      </c>
      <c r="D9" t="s">
        <v>10</v>
      </c>
    </row>
    <row r="10">
      <c r="A10" t="s">
        <v>69</v>
      </c>
      <c r="B10" t="s">
        <v>54</v>
      </c>
      <c r="C10" t="s">
        <v>4</v>
      </c>
      <c r="D10" t="s">
        <v>10</v>
      </c>
    </row>
    <row r="11">
      <c r="A11" t="s">
        <v>70</v>
      </c>
      <c r="B11" t="s">
        <v>56</v>
      </c>
      <c r="C11" t="s">
        <v>4</v>
      </c>
      <c r="D11" t="s">
        <v>10</v>
      </c>
    </row>
    <row r="12">
      <c r="A12" t="s">
        <v>71</v>
      </c>
      <c r="B12" t="s">
        <v>58</v>
      </c>
      <c r="C12" t="s">
        <v>4</v>
      </c>
      <c r="D12" t="s">
        <v>10</v>
      </c>
    </row>
  </sheetData>
  <sheetProtection algorithmName="SHA-512" hashValue="mBQJjF0QmteK0T4fGIvAXRXtiYpWqUemLv7SZ1ykwwxU73dNA0b+4nlf9pOkqqx+jwWRHlnZQV391physe+EmA==" saltValue="p8KK1Vr/k34Urp5Rhp820w==" spinCount="100000" autoFilter="1" deleteColumns="1" deleteRows="1" formatCells="1" formatColumns="1" formatRows="1" insertColumns="1" insertHyperlinks="1" insertRows="1" objects="0" pivotTables="1" scenarios="0" selectLockedCells="1" selectUnlockedCells="1" sheet="1" sort="1"/>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2147483648" verticalDpi="2147483648" copies="1"/>
  <headerFooter/>
</worksheet>
</file>

<file path=docProps/app.xml><?xml version="1.0" encoding="utf-8"?>
<Properties xmlns="http://schemas.openxmlformats.org/officeDocument/2006/extended-properties" xmlns:vt="http://schemas.openxmlformats.org/officeDocument/2006/docPropsVTypes">
  <Application>onlyoffice/8.0.1.31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陳威谷</cp:lastModifiedBy>
  <cp:revision>7</cp:revision>
  <dcterms:created xsi:type="dcterms:W3CDTF">2015-06-05T18:19:34Z</dcterms:created>
  <dcterms:modified xsi:type="dcterms:W3CDTF">2024-12-13T02:04:45Z</dcterms:modified>
</cp:coreProperties>
</file>