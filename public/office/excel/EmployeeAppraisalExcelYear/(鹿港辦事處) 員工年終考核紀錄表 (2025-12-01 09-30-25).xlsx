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粘麗滿" sheetId="1" state="visible" r:id="rId1"/>
    <sheet name="郭勝男" sheetId="2" state="visible" r:id="rId2"/>
    <sheet name="李陳佳若" sheetId="3" state="visible" r:id="rId3"/>
    <sheet name="參數" sheetId="4" state="hidden" r:id="rId4"/>
  </sheets>
  <calcPr/>
</workbook>
</file>

<file path=xl/sharedStrings.xml><?xml version="1.0" encoding="utf-8"?>
<sst xmlns="http://schemas.openxmlformats.org/spreadsheetml/2006/main" count="42" uniqueCount="42">
  <si>
    <t>114年度彰化區漁會年度考核/績效成績表</t>
  </si>
  <si>
    <t>姓名</t>
  </si>
  <si>
    <t>粘麗滿</t>
  </si>
  <si>
    <t>服務部門</t>
  </si>
  <si>
    <t>鹿港辦事處</t>
  </si>
  <si>
    <t>工作內容(必填)</t>
  </si>
  <si>
    <t xml:space="preserve">1.辦理會籍(會員入會與出會)申請及公文收發作業	
2.勞、健保保費-每天下午4:00辦理結帳(核對當天收款明細)
3.每週星期四辦理退費(勞、健保等)
3.每月20日辦理勞健保補助等級異動調整
5.月報表製作1.臨櫃每月25日(上個月26日至當月25日)2.媒體轉帳
6.協辦資訊室扣款(有電腦媒體轉帳銀扣時做媒體轉帳報表)
7.每年7/1通知繳納下半年保費(年繳欠費銀扣需改為臨櫃)
8.每年4月份通知會費2年未繳(積欠1500)→雙掛號通知出會(貸款客戶知會信用部查詢提前通知客戶)
9.每年10月辦理承銷人會費收取(先向魚市場會計確認銷人名單後製據)
10.每年10月份辦理會籍清查及協助辦理選舉業務     
11.每年11月底辦理→資訊室已產生下年度會費及勞健保費
          (新加保的要手工產生明年度保費)
          (甲類和乙類和團體都要新增新年度會費及保費)
12.辦理甲類老漁會費與新年度漁保費收費及調高投保薪資補收當年度需完成收費作業
13.每年2月(上半年)及8月(下半年)辦理催繳欠費作業
14.每年檢查未退費名冊一次及理事會資料報送與辦事處財產管理
</t>
  </si>
  <si>
    <t>考核期間</t>
  </si>
  <si>
    <t>114年O1月至12月</t>
  </si>
  <si>
    <t>主管</t>
  </si>
  <si>
    <t>員工</t>
  </si>
  <si>
    <t xml:space="preserve">考 核 項 目</t>
  </si>
  <si>
    <t>考核內容</t>
  </si>
  <si>
    <t>分數(0~100)</t>
  </si>
  <si>
    <t>考核</t>
  </si>
  <si>
    <t>績效</t>
  </si>
  <si>
    <t xml:space="preserve">工作知能及
公文績效</t>
  </si>
  <si>
    <r>
      <rPr>
        <sz val="11"/>
        <rFont val="標楷體"/>
      </rPr>
      <t>嫻熟工作相關專業知識，對於承辦業務能提出具體改進措施，或簡化工作流程，提升效能效率，增進工作績效</t>
    </r>
    <r>
      <rPr>
        <sz val="11"/>
        <color theme="1"/>
        <rFont val="標楷體"/>
      </rPr>
      <t>。公文處理均能掌握品質及時效，臨時交辦案件亦能依限完成。</t>
    </r>
  </si>
  <si>
    <t>服務態度、工作積極及品德操守</t>
  </si>
  <si>
    <t xml:space="preserve">負責盡職，積極辦理業務，落實顧客導向，提升服務品質。發揮團隊精神，對於工作與職務調整，及與他人協調合作，能優先考量組織目標之達成。
公正和藹，保守秘密，謹慎勤勉，誠實廉潔，無奢侈、放蕩、冶遊、賭博及其他有害聲譽之行為。</t>
  </si>
  <si>
    <r>
      <rPr>
        <sz val="11"/>
        <rFont val="標楷體"/>
      </rPr>
      <t xml:space="preserve">領導協調
能力</t>
    </r>
    <r>
      <rPr>
        <sz val="11"/>
        <color indexed="2"/>
        <rFont val="標楷體"/>
      </rPr>
      <t xml:space="preserve">(主管職務)   </t>
    </r>
  </si>
  <si>
    <t>具判斷決策溝通協調能力，並能傳授知識、經驗、技能，適當指導同仁，且經常檢討工作計畫執行情形，達成預定績效目標。</t>
  </si>
  <si>
    <t>年度目標達成度</t>
  </si>
  <si>
    <r>
      <rPr>
        <sz val="11"/>
        <color rgb="FF0070C0"/>
        <rFont val="標楷體"/>
      </rPr>
      <t>達成漁會訂定之目標值或成效</t>
    </r>
    <r>
      <rPr>
        <sz val="11"/>
        <color theme="1"/>
        <rFont val="標楷體"/>
      </rPr>
      <t>，如期完成或較預定進度超前，充分達成計畫目標，績效卓著。</t>
    </r>
  </si>
  <si>
    <r>
      <rPr>
        <sz val="11"/>
        <rFont val="標楷體"/>
      </rPr>
      <t xml:space="preserve">個人重大具體優劣事蹟(受考人如有工作、操行、學識、才能等重大具體優劣事蹟，足資紀錄者，應填於本欄 ，以作為考評之重要參據。)
或</t>
    </r>
    <r>
      <rPr>
        <sz val="11"/>
        <color indexed="2"/>
        <rFont val="標楷體"/>
      </rPr>
      <t>主管評定優等或丙等(含)以下應加敘事由或事蹟</t>
    </r>
  </si>
  <si>
    <t xml:space="preserve">單位主管評定等級及分數 (請簽章)</t>
  </si>
  <si>
    <t xml:space="preserve">總幹事綜合考評 (請簽章)</t>
  </si>
  <si>
    <r>
      <rPr/>
      <t xml:space="preserve">附註 :  一</t>
    </r>
    <r>
      <rPr>
        <sz val="6"/>
        <color theme="1"/>
        <rFont val="微軟正黑體"/>
      </rPr>
      <t xml:space="preserve">  </t>
    </r>
    <r>
      <rPr>
        <sz val="11"/>
        <color theme="1"/>
        <rFont val="微軟正黑體"/>
      </rPr>
      <t>、依據漁會人事管理辦法第54條規定訂定，但各漁會得視業務特性及需要自行訂定。</t>
    </r>
  </si>
  <si>
    <t xml:space="preserve">           二 、平時考核紀錄等級分為6級，平時考核紀錄等級分述如下:</t>
  </si>
  <si>
    <t xml:space="preserve">                    優:90-99(表現優異，足為同仁表率。)</t>
  </si>
  <si>
    <t xml:space="preserve">                    甲:80-89(表現明顯地超出該職責的要求水準。)</t>
  </si>
  <si>
    <t xml:space="preserve">                    乙:70-79(表現均能達到要求水準。)</t>
  </si>
  <si>
    <t xml:space="preserve">                    丙:60-69(表現未盡符合基本要求。)</t>
  </si>
  <si>
    <t xml:space="preserve">                    丁:50-59(表現多未達基本要求，經勸導仍未改進者。)</t>
  </si>
  <si>
    <t xml:space="preserve">                    戊:40-49(無故曠工。)</t>
  </si>
  <si>
    <t>郭勝男</t>
  </si>
  <si>
    <t xml:space="preserve">1. 辦理AIS及航程記錄器(VDR)補助申請
2. 辦理蚵線配售申購及放養量申報
3. 天然災害回報與協助申請救助
4. 辦理船員訓練申報與漁船保險及漁民救難獎勵金,救難漁船獎勵金(全國漁會)申請
5. 辦理漁業執照換發,漁筏定檢,小船定檢,船員手冊換發及漁筏監理執照、小船執造、變更引擎、變更船員、保留汰建權、船筏買賣、汰建、改造及變更、娛樂漁船、購油手冊等申請
6. 協助辦理風電補償金發放及協助離岸風電對漁業生態研究(基隆海大)資料收集
7. 辦理休漁及漁船汽油補貼
8. 協辦烏魚及鰻苗漁獲量回報
9. 協助辦理牡蠣搬運機定期檢查及牌照申請
10.辦理漁業動力用油供售作業
11.協助國軍射擊及航行避險公告。</t>
  </si>
  <si>
    <t>李陳佳若</t>
  </si>
  <si>
    <t xml:space="preserve">1.辦理勞.健保(加.退.停.續)保作業。
2.製作勞健保人數統計表。
3.辦理老漁津貼申請及老漁津貼審查(滿65歲前半年)。
4.辦理勞保各項給付申請。
5.理事會會員人數統計。
6.辦理每年度農漁民子女助學金申請。
7.辦理每年度調高投保薪資申請。
8.辦理健保會員資格審查。
9.每年健保評比(3月至9月)。
10.辦理汽機車保險。
11.其他協辦事項。</t>
  </si>
  <si>
    <t>0073</t>
  </si>
  <si>
    <t>0007</t>
  </si>
  <si>
    <t>0171</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</si>
</sst>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8">
    <font>
      <sz val="11.000000"/>
      <color theme="1"/>
      <name val="Calibri"/>
      <scheme val="minor"/>
    </font>
    <font>
      <sz val="11.000000"/>
      <color theme="1"/>
      <name val="微軟正黑體"/>
    </font>
    <font>
      <b/>
      <sz val="16.000000"/>
      <color theme="1"/>
      <name val="標楷體"/>
    </font>
    <font>
      <sz val="11.000000"/>
      <color theme="1"/>
      <name val="標楷體"/>
    </font>
    <font>
      <sz val="11.000000"/>
      <color indexed="2"/>
      <name val="標楷體"/>
    </font>
    <font>
      <sz val="11.000000"/>
      <color theme="1"/>
      <name val="Microsoft JhengHei"/>
    </font>
    <font>
      <sz val="11.000000"/>
      <color theme="1"/>
      <name val="Arial Unicode MS"/>
    </font>
    <font>
      <sz val="11.000000"/>
      <name val="標楷體"/>
    </font>
  </fonts>
  <fills count="5">
    <fill>
      <patternFill patternType="none"/>
    </fill>
    <fill>
      <patternFill patternType="gray125"/>
    </fill>
    <fill>
      <patternFill patternType="solid">
        <fgColor theme="0" tint="-0.049989318521683403"/>
        <bgColor theme="0" tint="-0.049989318521683403"/>
      </patternFill>
    </fill>
    <fill>
      <patternFill patternType="solid">
        <fgColor theme="9" tint="0.79998168889431442"/>
        <bgColor theme="9" tint="0.79998168889431442"/>
      </patternFill>
    </fill>
    <fill>
      <patternFill patternType="solid">
        <fgColor theme="0" tint="-0.049989318521683403"/>
        <bgColor theme="0" tint="-0.049989318521683403"/>
      </patternFill>
    </fill>
  </fills>
  <borders count="6">
    <border>
      <left style="none"/>
      <right style="none"/>
      <top style="none"/>
      <bottom style="none"/>
      <diagonal style="none"/>
    </border>
    <border>
      <left style="none"/>
      <right style="none"/>
      <top style="thin">
        <color auto="1"/>
      </top>
      <bottom style="none"/>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s>
  <cellStyleXfs count="1">
    <xf fontId="0" fillId="0" borderId="0" numFmtId="0" applyNumberFormat="1" applyFont="1" applyFill="1" applyBorder="1"/>
  </cellStyleXfs>
  <cellXfs count="36">
    <xf fontId="0" fillId="0" borderId="0" numFmtId="0" xfId="0"/>
    <xf fontId="0" fillId="0" borderId="0" numFmtId="0" xfId="0" applyProtection="1">
      <protection locked="0"/>
    </xf>
    <xf fontId="1" fillId="0" borderId="0" numFmtId="0" xfId="0" applyFont="1" applyAlignment="1">
      <alignment horizontal="center" vertical="center" wrapText="1"/>
    </xf>
    <xf fontId="1" fillId="0" borderId="0" numFmtId="0" xfId="0" applyFont="1" applyAlignment="1">
      <alignment horizontal="left" vertical="top"/>
    </xf>
    <xf fontId="1" fillId="0" borderId="0" numFmtId="0" xfId="0" applyFont="1"/>
    <xf fontId="0" fillId="0" borderId="0" numFmtId="0" xfId="0" applyAlignment="1">
      <alignment horizontal="center"/>
    </xf>
    <xf fontId="0" fillId="0" borderId="1" numFmtId="0" xfId="0" applyBorder="1" applyProtection="1">
      <protection locked="0"/>
    </xf>
    <xf fontId="0" fillId="0" borderId="2" numFmtId="0" xfId="0" applyBorder="1" applyProtection="1">
      <protection locked="0"/>
    </xf>
    <xf fontId="2" fillId="0" borderId="3" numFmtId="0" xfId="0" applyFont="1" applyBorder="1" applyAlignment="1">
      <alignment horizontal="center" vertical="center" wrapText="1"/>
    </xf>
    <xf fontId="2" fillId="0" borderId="4" numFmtId="0" xfId="0" applyFont="1" applyBorder="1" applyAlignment="1">
      <alignment horizontal="center" vertical="center" wrapText="1"/>
    </xf>
    <xf fontId="2" fillId="0" borderId="5" numFmtId="0" xfId="0" applyFont="1" applyBorder="1" applyAlignment="1">
      <alignment horizontal="center" vertical="center" wrapText="1"/>
    </xf>
    <xf fontId="3" fillId="0" borderId="2" numFmtId="0" xfId="0" applyFont="1" applyBorder="1" applyAlignment="1">
      <alignment horizontal="center" vertical="center" wrapText="1"/>
    </xf>
    <xf fontId="4" fillId="2" borderId="2" numFmtId="0" xfId="0" applyFont="1" applyFill="1" applyBorder="1" applyAlignment="1">
      <alignment horizontal="center" vertical="center" wrapText="1"/>
    </xf>
    <xf fontId="3" fillId="2" borderId="3" numFmtId="0" xfId="0" applyFont="1" applyFill="1" applyBorder="1" applyAlignment="1" applyProtection="1">
      <alignment horizontal="left" vertical="top" wrapText="1"/>
      <protection locked="0"/>
    </xf>
    <xf fontId="3" fillId="2" borderId="4" numFmtId="0" xfId="0" applyFont="1" applyFill="1" applyBorder="1" applyAlignment="1" applyProtection="1">
      <alignment horizontal="left" vertical="top" wrapText="1"/>
      <protection locked="0"/>
    </xf>
    <xf fontId="3" fillId="2" borderId="5" numFmtId="0" xfId="0" applyFont="1" applyFill="1" applyBorder="1" applyAlignment="1" applyProtection="1">
      <alignment horizontal="left" vertical="top" wrapText="1"/>
      <protection locked="0"/>
    </xf>
    <xf fontId="5" fillId="0" borderId="2" numFmtId="0" xfId="0" applyFont="1" applyBorder="1" applyAlignment="1">
      <alignment horizontal="center" vertical="center"/>
    </xf>
    <xf fontId="3" fillId="0" borderId="2" numFmtId="0" xfId="0" applyFont="1" applyBorder="1" applyAlignment="1">
      <alignment horizontal="center" vertical="center"/>
    </xf>
    <xf fontId="3" fillId="0" borderId="2" numFmtId="0" xfId="0" applyFont="1" applyBorder="1" applyAlignment="1">
      <alignment vertical="center" wrapText="1"/>
    </xf>
    <xf fontId="3" fillId="0" borderId="2" numFmtId="0" xfId="0" applyFont="1" applyBorder="1" applyAlignment="1" applyProtection="1">
      <alignment horizontal="center" vertical="center"/>
      <protection locked="0"/>
    </xf>
    <xf fontId="6" fillId="3" borderId="2" numFmtId="9" xfId="0" applyNumberFormat="1" applyFont="1" applyFill="1" applyBorder="1" applyAlignment="1">
      <alignment horizontal="center" vertical="center"/>
    </xf>
    <xf fontId="7" fillId="0" borderId="2" numFmtId="0" xfId="0" applyFont="1" applyBorder="1" applyAlignment="1">
      <alignment vertical="center" wrapText="1"/>
    </xf>
    <xf fontId="4" fillId="0" borderId="2" numFmtId="0" xfId="0" applyFont="1" applyBorder="1" applyAlignment="1">
      <alignment vertical="center" wrapText="1"/>
    </xf>
    <xf fontId="3" fillId="0" borderId="2" numFmtId="0" xfId="0" applyFont="1" applyBorder="1" applyAlignment="1">
      <alignment horizontal="left" vertical="center" wrapText="1"/>
    </xf>
    <xf fontId="3" fillId="0" borderId="2" numFmtId="0" xfId="0" applyFont="1" applyBorder="1" applyAlignment="1">
      <alignment horizontal="left" vertical="center"/>
    </xf>
    <xf fontId="7" fillId="4" borderId="3" numFmtId="0" xfId="0" applyFont="1" applyFill="1" applyBorder="1" applyAlignment="1" applyProtection="1">
      <alignment horizontal="left" vertical="top" wrapText="1"/>
      <protection locked="0"/>
    </xf>
    <xf fontId="7" fillId="4" borderId="4" numFmtId="0" xfId="0" applyFont="1" applyFill="1" applyBorder="1" applyAlignment="1" applyProtection="1">
      <alignment horizontal="left" vertical="top" wrapText="1"/>
      <protection locked="0"/>
    </xf>
    <xf fontId="7" fillId="4" borderId="5" numFmtId="0" xfId="0" applyFont="1" applyFill="1" applyBorder="1" applyAlignment="1" applyProtection="1">
      <alignment horizontal="left" vertical="top" wrapText="1"/>
      <protection locked="0"/>
    </xf>
    <xf fontId="4" fillId="0" borderId="2" numFmtId="0" xfId="0" applyFont="1" applyBorder="1" applyAlignment="1">
      <alignment horizontal="left" indent="1" vertical="center"/>
    </xf>
    <xf fontId="4" fillId="0" borderId="2" numFmtId="0" xfId="0" applyFont="1" applyBorder="1" applyAlignment="1" applyProtection="1">
      <alignment horizontal="center" vertical="center"/>
      <protection locked="0"/>
    </xf>
    <xf fontId="0" fillId="0" borderId="0" numFmtId="0" xfId="0" applyAlignment="1" applyProtection="1">
      <alignment horizontal="left"/>
      <protection locked="0"/>
    </xf>
    <xf fontId="1" fillId="0" borderId="0" numFmtId="0" xfId="0" applyFont="1" applyAlignment="1">
      <alignment horizontal="left" vertical="center"/>
    </xf>
    <xf fontId="1" fillId="0" borderId="0" numFmtId="0" xfId="0" applyFont="1" applyAlignment="1">
      <alignment horizontal="left" vertical="center" wrapText="1"/>
    </xf>
    <xf fontId="1" fillId="0" borderId="0" numFmtId="0" xfId="0" applyFont="1" applyAlignment="1">
      <alignment horizontal="left" wrapText="1"/>
    </xf>
    <xf fontId="1" fillId="0" borderId="0" numFmtId="0" xfId="0" applyFont="1" applyAlignment="1">
      <alignment horizontal="left"/>
    </xf>
    <xf fontId="1" fillId="0" borderId="0" numFmt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5" zoomScale="100" workbookViewId="0">
      <selection activeCell="C3" activeCellId="0" sqref="C3"/>
    </sheetView>
  </sheetViews>
  <sheetFormatPr defaultColWidth="11.25" defaultRowHeight="15.65" customHeight="1"/>
  <cols>
    <col customWidth="1" hidden="1" min="1" max="1" style="1" width="0.125"/>
    <col customWidth="1" min="2" max="2" style="2" width="16.75"/>
    <col customWidth="1" min="3" max="3" style="2" width="18.625"/>
    <col customWidth="1" hidden="1" min="4" max="4" style="2" width="5.5"/>
    <col customWidth="1" min="5" max="5" style="3" width="32"/>
    <col customWidth="1" min="6" max="6" style="4" width="4.75"/>
    <col customWidth="1" min="7" max="7" style="4" width="7.625"/>
    <col customWidth="1" min="8" max="10" style="5" width="6.625"/>
    <col customWidth="1" min="11" max="11" style="5" width="7.125"/>
    <col customWidth="1" min="12" max="16384" style="1" width="11.25"/>
  </cols>
  <sheetData>
    <row r="1" s="6" customFormat="1" ht="36.649999999999999" customHeight="1">
      <c r="A1" s="7"/>
      <c r="B1" s="8" t="s">
        <v>0</v>
      </c>
      <c r="C1" s="9"/>
      <c r="D1" s="9"/>
      <c r="E1" s="9"/>
      <c r="F1" s="9"/>
      <c r="G1" s="9"/>
      <c r="H1" s="9"/>
      <c r="I1" s="9"/>
      <c r="J1" s="9"/>
      <c r="K1" s="10"/>
    </row>
    <row r="2" ht="35.25" customHeight="1">
      <c r="A2" s="7"/>
      <c r="B2" s="11" t="s">
        <v>1</v>
      </c>
      <c r="C2" s="11" t="s">
        <v>2</v>
      </c>
      <c r="D2" s="11"/>
      <c r="E2" s="11"/>
      <c r="F2" s="11" t="s">
        <v>3</v>
      </c>
      <c r="G2" s="11"/>
      <c r="H2" s="11" t="s">
        <v>4</v>
      </c>
      <c r="I2" s="11"/>
      <c r="J2" s="11"/>
      <c r="K2" s="11"/>
    </row>
    <row r="3" ht="58.850000000000001" customHeight="1">
      <c r="A3" s="7"/>
      <c r="B3" s="12" t="s">
        <v>5</v>
      </c>
      <c r="C3" s="13" t="s">
        <v>6</v>
      </c>
      <c r="D3" s="14"/>
      <c r="E3" s="14"/>
      <c r="F3" s="14"/>
      <c r="G3" s="14"/>
      <c r="H3" s="14"/>
      <c r="I3" s="14"/>
      <c r="J3" s="14"/>
      <c r="K3" s="15"/>
    </row>
    <row r="4" ht="35.25" customHeight="1">
      <c r="A4" s="7"/>
      <c r="B4" s="12" t="s">
        <v>7</v>
      </c>
      <c r="C4" s="12" t="s">
        <v>8</v>
      </c>
      <c r="D4" s="12"/>
      <c r="E4" s="12"/>
      <c r="F4" s="12"/>
      <c r="G4" s="12"/>
      <c r="H4" s="16" t="s">
        <v>9</v>
      </c>
      <c r="I4" s="16"/>
      <c r="J4" s="16" t="s">
        <v>10</v>
      </c>
      <c r="K4" s="16"/>
    </row>
    <row r="5" ht="30.050000000000001"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9">
        <v>83</v>
      </c>
      <c r="G6" s="19"/>
      <c r="H6" s="20">
        <v>0.29999999999999999</v>
      </c>
      <c r="I6" s="20">
        <v>0.20000000000000001</v>
      </c>
      <c r="J6" s="20">
        <v>0.29999999999999999</v>
      </c>
      <c r="K6" s="20">
        <v>0.25</v>
      </c>
    </row>
    <row r="7" ht="81.099999999999994" customHeight="1">
      <c r="A7" s="7"/>
      <c r="B7" s="11" t="s">
        <v>18</v>
      </c>
      <c r="C7" s="18" t="s">
        <v>19</v>
      </c>
      <c r="D7" s="18"/>
      <c r="E7" s="18"/>
      <c r="F7" s="19">
        <v>80</v>
      </c>
      <c r="G7" s="19"/>
      <c r="H7" s="20">
        <v>0.29999999999999999</v>
      </c>
      <c r="I7" s="20">
        <v>0.20000000000000001</v>
      </c>
      <c r="J7" s="20">
        <v>0.40000000000000002</v>
      </c>
      <c r="K7" s="20">
        <v>0.25</v>
      </c>
    </row>
    <row r="8" ht="53.399999999999999" customHeight="1">
      <c r="A8" s="7"/>
      <c r="B8" s="11" t="s">
        <v>20</v>
      </c>
      <c r="C8" s="21" t="s">
        <v>21</v>
      </c>
      <c r="D8" s="22"/>
      <c r="E8" s="18"/>
      <c r="F8" s="19"/>
      <c r="G8" s="19"/>
      <c r="H8" s="20">
        <v>0.10000000000000001</v>
      </c>
      <c r="I8" s="20">
        <v>0.10000000000000001</v>
      </c>
      <c r="J8" s="20">
        <v>0</v>
      </c>
      <c r="K8" s="20">
        <v>0</v>
      </c>
    </row>
    <row r="9" ht="40.25" customHeight="1">
      <c r="A9" s="7"/>
      <c r="B9" s="11" t="s">
        <v>22</v>
      </c>
      <c r="C9" s="18" t="s">
        <v>23</v>
      </c>
      <c r="D9" s="18"/>
      <c r="E9" s="18"/>
      <c r="F9" s="19">
        <v>86</v>
      </c>
      <c r="G9" s="19"/>
      <c r="H9" s="20">
        <v>0.29999999999999999</v>
      </c>
      <c r="I9" s="20">
        <v>0.5</v>
      </c>
      <c r="J9" s="20">
        <v>0.29999999999999999</v>
      </c>
      <c r="K9" s="20">
        <v>0.5</v>
      </c>
    </row>
    <row r="10" ht="50.399999999999999" customHeight="1">
      <c r="A10" s="7"/>
      <c r="B10" s="23" t="s">
        <v>24</v>
      </c>
      <c r="C10" s="23"/>
      <c r="D10" s="23"/>
      <c r="E10" s="24"/>
      <c r="F10" s="24"/>
      <c r="G10" s="24"/>
      <c r="H10" s="20">
        <f>SUM(H6:H9)</f>
        <v>1</v>
      </c>
      <c r="I10" s="20">
        <f>SUM(I6:I9)</f>
        <v>1</v>
      </c>
      <c r="J10" s="20">
        <f>SUM(J6:J9)</f>
        <v>1</v>
      </c>
      <c r="K10" s="20">
        <f>SUM(K6:K9)</f>
        <v>1</v>
      </c>
    </row>
    <row r="11" ht="43.200000000000003" customHeight="1">
      <c r="A11" s="7"/>
      <c r="B11" s="25"/>
      <c r="C11" s="26"/>
      <c r="D11" s="26"/>
      <c r="E11" s="26"/>
      <c r="F11" s="26"/>
      <c r="G11" s="26"/>
      <c r="H11" s="26"/>
      <c r="I11" s="26"/>
      <c r="J11" s="26"/>
      <c r="K11" s="27"/>
    </row>
    <row r="12" ht="31.800000000000001" customHeight="1">
      <c r="A12" s="7"/>
      <c r="B12" s="17" t="s">
        <v>25</v>
      </c>
      <c r="C12" s="17"/>
      <c r="D12" s="17"/>
      <c r="E12" s="17"/>
      <c r="F12" s="17" t="s">
        <v>26</v>
      </c>
      <c r="G12" s="17"/>
      <c r="H12" s="17"/>
      <c r="I12" s="17"/>
      <c r="J12" s="17"/>
      <c r="K12" s="17"/>
    </row>
    <row r="13" ht="30.050000000000001" customHeight="1">
      <c r="A13" s="7"/>
      <c r="B13" s="17" t="s">
        <v>14</v>
      </c>
      <c r="C13" s="17"/>
      <c r="D13" s="17">
        <f>IFERROR(
            IF(
                INDEX(參數!$A:$D, MATCH(C2, 參數!$B:$B, 0), 4) = "員工",
                ROUND(SUM(F6*J6, F7*J7, F8*J8, F9*J9), 0),
                IF(
                    INDEX(參數!$A:$D, MATCH(C2, 參數!$B:$B, 0), 4) = "主管",
                    ROUND(SUM(F6*H6, F7*H7, F8*H8, F9*H9), 0),
                    ""
                )
            ),
            ""
        )</f>
        <v>83</v>
      </c>
      <c r="E13" s="28" t="str">
        <f t="array" ref="E13">IF(AND(ISNUMBER($D$13),$D$13&gt;0),
    IFERROR(
        _xlfn.IFS(
            $D$13&gt;=90,"考核:優",
            $D$13&gt;=80,"考核:甲",
            $D$13&gt;=70,"考核:乙",
            $D$13&gt;=60,"考核:丙",
            $D$13&gt;=50,"考核:丁",
            $D$13&gt;=1,"考核:戊"
        ),
        ""
    ),
    ""
)</f>
        <v>考核:甲</v>
      </c>
      <c r="F13" s="29"/>
      <c r="G13" s="29"/>
      <c r="H13" s="29"/>
      <c r="I13" s="29"/>
      <c r="J13" s="29"/>
      <c r="K13" s="29"/>
    </row>
    <row r="14" ht="30.050000000000001" customHeight="1">
      <c r="A14" s="7"/>
      <c r="B14" s="17" t="s">
        <v>15</v>
      </c>
      <c r="C14" s="17"/>
      <c r="D14" s="17">
        <f>IFERROR(
        IF(
            INDEX(參數!$A:$D, MATCH(C2, 參數!$B:$B, 0), 4) = "員工",
            ROUND(SUM(F6*K6, F7*K7, F8*K8, F9*K9), 0),
            IF(
                INDEX(參數!$A:$D, MATCH(C2, 參數!$B:$B, 0), 4) = "主管",
                ROUND(SUM(F6*I6, F7*I7, F8*I8, F9*I9), 0),
                ""
            )
        ),
        ""
    )</f>
        <v>84</v>
      </c>
      <c r="E14" s="28" t="str">
        <f t="array" ref="E14">IF(AND(ISNUMBER($D$14),$D$14&gt;0),
    IFERROR(
        _xlfn.IFS(
            $D$14&gt;=90,"績效:優",
            $D$14&gt;=80,"績效:甲",
            $D$14&gt;=70,"績效:乙",
            $D$14&gt;=60,"績效:丙",
            $D$14&gt;=50,"績效:丁",
            $D$14&gt;=1,"績效:戊"
        ),
        ""
    ),
    ""
)</f>
        <v>績效:甲</v>
      </c>
      <c r="F14" s="29"/>
      <c r="G14" s="29"/>
      <c r="H14" s="29"/>
      <c r="I14" s="29"/>
      <c r="J14" s="29"/>
      <c r="K14" s="29"/>
    </row>
    <row r="15" s="30" customFormat="1" ht="19.25" customHeight="1">
      <c r="B15" s="31" t="s">
        <v>27</v>
      </c>
      <c r="C15" s="32"/>
      <c r="D15" s="32"/>
      <c r="E15" s="32"/>
      <c r="F15" s="33"/>
      <c r="G15" s="34"/>
      <c r="H15" s="5"/>
      <c r="I15" s="5"/>
      <c r="J15" s="5"/>
      <c r="K15" s="5"/>
    </row>
    <row r="16" s="30" customFormat="1" ht="15.75">
      <c r="B16" s="31" t="s">
        <v>28</v>
      </c>
      <c r="C16" s="32"/>
      <c r="D16" s="32"/>
      <c r="E16" s="32"/>
      <c r="F16" s="34"/>
      <c r="G16" s="34"/>
      <c r="H16" s="5"/>
      <c r="I16" s="5"/>
      <c r="J16" s="5"/>
      <c r="K16" s="5"/>
    </row>
    <row r="17" s="30" customFormat="1" ht="15.75">
      <c r="B17" s="31" t="s">
        <v>29</v>
      </c>
      <c r="C17" s="32"/>
      <c r="D17" s="32"/>
      <c r="E17" s="32"/>
      <c r="F17" s="34"/>
      <c r="G17" s="34"/>
      <c r="H17" s="5"/>
      <c r="I17" s="5"/>
      <c r="J17" s="5"/>
      <c r="K17" s="5"/>
    </row>
    <row r="18" s="30" customFormat="1" ht="15.75">
      <c r="B18" s="31" t="s">
        <v>30</v>
      </c>
      <c r="C18" s="32"/>
      <c r="D18" s="32"/>
      <c r="E18" s="32"/>
      <c r="F18" s="34"/>
      <c r="G18" s="34"/>
      <c r="H18" s="5"/>
      <c r="I18" s="5"/>
      <c r="J18" s="5"/>
      <c r="K18" s="5"/>
    </row>
    <row r="19" s="30" customFormat="1" ht="15.75">
      <c r="B19" s="31" t="s">
        <v>31</v>
      </c>
      <c r="C19" s="32"/>
      <c r="D19" s="32"/>
      <c r="E19" s="32"/>
      <c r="F19" s="34"/>
      <c r="G19" s="34"/>
      <c r="H19" s="5"/>
      <c r="I19" s="5"/>
      <c r="J19" s="5"/>
      <c r="K19" s="5"/>
    </row>
    <row r="20" s="30" customFormat="1" ht="15.75">
      <c r="B20" s="31" t="s">
        <v>32</v>
      </c>
      <c r="C20" s="32"/>
      <c r="D20" s="32"/>
      <c r="E20" s="32"/>
      <c r="F20" s="34"/>
      <c r="G20" s="34"/>
      <c r="H20" s="5"/>
      <c r="I20" s="5"/>
      <c r="J20" s="5"/>
      <c r="K20" s="5"/>
    </row>
    <row r="21" s="30" customFormat="1" ht="15.75">
      <c r="B21" s="31" t="s">
        <v>33</v>
      </c>
      <c r="C21" s="32"/>
      <c r="D21" s="32"/>
      <c r="E21" s="32"/>
      <c r="F21" s="34"/>
      <c r="G21" s="34"/>
      <c r="H21" s="5"/>
      <c r="I21" s="5"/>
      <c r="J21" s="5"/>
      <c r="K21" s="5"/>
    </row>
    <row r="22" s="30" customFormat="1" ht="15.75">
      <c r="B22" s="31" t="s">
        <v>34</v>
      </c>
      <c r="C22" s="32"/>
      <c r="D22" s="32"/>
      <c r="E22" s="32"/>
      <c r="F22" s="34"/>
      <c r="G22" s="34"/>
      <c r="H22" s="5"/>
      <c r="I22" s="5"/>
      <c r="J22" s="5"/>
      <c r="K22" s="5"/>
    </row>
    <row r="23" s="30" customFormat="1" ht="15.75">
      <c r="B23" s="31"/>
      <c r="C23" s="32"/>
      <c r="D23" s="32"/>
      <c r="E23" s="32"/>
      <c r="F23" s="34"/>
      <c r="G23" s="34"/>
      <c r="H23" s="5"/>
      <c r="I23" s="5"/>
      <c r="J23" s="5"/>
      <c r="K23" s="5"/>
    </row>
    <row r="24" ht="15.75">
      <c r="B24" s="35"/>
    </row>
    <row r="25" ht="15.75">
      <c r="B25" s="35"/>
    </row>
  </sheetData>
  <sheetProtection algorithmName="SHA-512" hashValue="Dmz1TQF4ssoEs1lILZ0KLE36W6muFrCvHYwO2O6eyYWwTpM32UXkVRPs6NvSt3FO1xMiSsR1BmsWalxQGMTYVg==" saltValue="faVl/V5d5gY2VDQQxuLkBw==" spinCount="100000" autoFilter="1" deleteColumns="1" deleteRows="1" formatCells="1"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7300D3-0008-49A5-B394-0001003500CB}"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C600D4-00AA-4A22-B8F9-00B100B10077}"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5" zoomScale="100" workbookViewId="0">
      <selection activeCell="C3" activeCellId="0" sqref="C3"/>
    </sheetView>
  </sheetViews>
  <sheetFormatPr defaultColWidth="11.25" defaultRowHeight="15.65" customHeight="1"/>
  <cols>
    <col customWidth="1" hidden="1" min="1" max="1" style="1" width="0.125"/>
    <col customWidth="1" min="2" max="2" style="2" width="16.75"/>
    <col customWidth="1" min="3" max="3" style="2" width="18.625"/>
    <col customWidth="1" hidden="1" min="4" max="4" style="2" width="5.5"/>
    <col customWidth="1" min="5" max="5" style="3" width="32"/>
    <col customWidth="1" min="6" max="6" style="4" width="4.75"/>
    <col customWidth="1" min="7" max="7" style="4" width="7.625"/>
    <col customWidth="1" min="8" max="10" style="5" width="6.625"/>
    <col customWidth="1" min="11" max="11" style="5" width="7.125"/>
    <col customWidth="1" min="12" max="16384" style="1" width="11.25"/>
  </cols>
  <sheetData>
    <row r="1" s="6" customFormat="1" ht="36.649999999999999" customHeight="1">
      <c r="A1" s="7"/>
      <c r="B1" s="8" t="s">
        <v>0</v>
      </c>
      <c r="C1" s="9"/>
      <c r="D1" s="9"/>
      <c r="E1" s="9"/>
      <c r="F1" s="9"/>
      <c r="G1" s="9"/>
      <c r="H1" s="9"/>
      <c r="I1" s="9"/>
      <c r="J1" s="9"/>
      <c r="K1" s="10"/>
    </row>
    <row r="2" ht="35.25" customHeight="1">
      <c r="A2" s="7"/>
      <c r="B2" s="11" t="s">
        <v>1</v>
      </c>
      <c r="C2" s="11" t="s">
        <v>35</v>
      </c>
      <c r="D2" s="11"/>
      <c r="E2" s="11"/>
      <c r="F2" s="11" t="s">
        <v>3</v>
      </c>
      <c r="G2" s="11"/>
      <c r="H2" s="11" t="s">
        <v>4</v>
      </c>
      <c r="I2" s="11"/>
      <c r="J2" s="11"/>
      <c r="K2" s="11"/>
    </row>
    <row r="3" ht="58.850000000000001" customHeight="1">
      <c r="A3" s="7"/>
      <c r="B3" s="12" t="s">
        <v>5</v>
      </c>
      <c r="C3" s="13" t="s">
        <v>36</v>
      </c>
      <c r="D3" s="14"/>
      <c r="E3" s="14"/>
      <c r="F3" s="14"/>
      <c r="G3" s="14"/>
      <c r="H3" s="14"/>
      <c r="I3" s="14"/>
      <c r="J3" s="14"/>
      <c r="K3" s="15"/>
    </row>
    <row r="4" ht="35.25" customHeight="1">
      <c r="A4" s="7"/>
      <c r="B4" s="12" t="s">
        <v>7</v>
      </c>
      <c r="C4" s="12" t="s">
        <v>8</v>
      </c>
      <c r="D4" s="12"/>
      <c r="E4" s="12"/>
      <c r="F4" s="12"/>
      <c r="G4" s="12"/>
      <c r="H4" s="16" t="s">
        <v>9</v>
      </c>
      <c r="I4" s="16"/>
      <c r="J4" s="16" t="s">
        <v>10</v>
      </c>
      <c r="K4" s="16"/>
    </row>
    <row r="5" ht="30.050000000000001"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9">
        <v>85</v>
      </c>
      <c r="G6" s="19"/>
      <c r="H6" s="20">
        <v>0.29999999999999999</v>
      </c>
      <c r="I6" s="20">
        <v>0.20000000000000001</v>
      </c>
      <c r="J6" s="20">
        <v>0.29999999999999999</v>
      </c>
      <c r="K6" s="20">
        <v>0.25</v>
      </c>
    </row>
    <row r="7" ht="81.099999999999994" customHeight="1">
      <c r="A7" s="7"/>
      <c r="B7" s="11" t="s">
        <v>18</v>
      </c>
      <c r="C7" s="18" t="s">
        <v>19</v>
      </c>
      <c r="D7" s="18"/>
      <c r="E7" s="18"/>
      <c r="F7" s="19">
        <v>81</v>
      </c>
      <c r="G7" s="19"/>
      <c r="H7" s="20">
        <v>0.29999999999999999</v>
      </c>
      <c r="I7" s="20">
        <v>0.20000000000000001</v>
      </c>
      <c r="J7" s="20">
        <v>0.40000000000000002</v>
      </c>
      <c r="K7" s="20">
        <v>0.25</v>
      </c>
    </row>
    <row r="8" ht="53.399999999999999" customHeight="1">
      <c r="A8" s="7"/>
      <c r="B8" s="11" t="s">
        <v>20</v>
      </c>
      <c r="C8" s="21" t="s">
        <v>21</v>
      </c>
      <c r="D8" s="22"/>
      <c r="E8" s="18"/>
      <c r="F8" s="19"/>
      <c r="G8" s="19"/>
      <c r="H8" s="20">
        <v>0.10000000000000001</v>
      </c>
      <c r="I8" s="20">
        <v>0.10000000000000001</v>
      </c>
      <c r="J8" s="20">
        <v>0</v>
      </c>
      <c r="K8" s="20">
        <v>0</v>
      </c>
    </row>
    <row r="9" ht="40.25" customHeight="1">
      <c r="A9" s="7"/>
      <c r="B9" s="11" t="s">
        <v>22</v>
      </c>
      <c r="C9" s="18" t="s">
        <v>23</v>
      </c>
      <c r="D9" s="18"/>
      <c r="E9" s="18"/>
      <c r="F9" s="19">
        <v>80</v>
      </c>
      <c r="G9" s="19"/>
      <c r="H9" s="20">
        <v>0.29999999999999999</v>
      </c>
      <c r="I9" s="20">
        <v>0.5</v>
      </c>
      <c r="J9" s="20">
        <v>0.29999999999999999</v>
      </c>
      <c r="K9" s="20">
        <v>0.5</v>
      </c>
    </row>
    <row r="10" ht="50.399999999999999" customHeight="1">
      <c r="A10" s="7"/>
      <c r="B10" s="23" t="s">
        <v>24</v>
      </c>
      <c r="C10" s="23"/>
      <c r="D10" s="23"/>
      <c r="E10" s="24"/>
      <c r="F10" s="24"/>
      <c r="G10" s="24"/>
      <c r="H10" s="20">
        <f>SUM(H6:H9)</f>
        <v>1</v>
      </c>
      <c r="I10" s="20">
        <f>SUM(I6:I9)</f>
        <v>1</v>
      </c>
      <c r="J10" s="20">
        <f>SUM(J6:J9)</f>
        <v>1</v>
      </c>
      <c r="K10" s="20">
        <f>SUM(K6:K9)</f>
        <v>1</v>
      </c>
    </row>
    <row r="11" ht="43.200000000000003" customHeight="1">
      <c r="A11" s="7"/>
      <c r="B11" s="25"/>
      <c r="C11" s="26"/>
      <c r="D11" s="26"/>
      <c r="E11" s="26"/>
      <c r="F11" s="26"/>
      <c r="G11" s="26"/>
      <c r="H11" s="26"/>
      <c r="I11" s="26"/>
      <c r="J11" s="26"/>
      <c r="K11" s="27"/>
    </row>
    <row r="12" ht="31.800000000000001" customHeight="1">
      <c r="A12" s="7"/>
      <c r="B12" s="17" t="s">
        <v>25</v>
      </c>
      <c r="C12" s="17"/>
      <c r="D12" s="17"/>
      <c r="E12" s="17"/>
      <c r="F12" s="17" t="s">
        <v>26</v>
      </c>
      <c r="G12" s="17"/>
      <c r="H12" s="17"/>
      <c r="I12" s="17"/>
      <c r="J12" s="17"/>
      <c r="K12" s="17"/>
    </row>
    <row r="13" ht="30.050000000000001" customHeight="1">
      <c r="A13" s="7"/>
      <c r="B13" s="17" t="s">
        <v>14</v>
      </c>
      <c r="C13" s="17"/>
      <c r="D13" s="17">
        <f>IFERROR(
            IF(
                INDEX(參數!$A:$D, MATCH(C2, 參數!$B:$B, 0), 4) = "員工",
                ROUND(SUM(F6*J6, F7*J7, F8*J8, F9*J9), 0),
                IF(
                    INDEX(參數!$A:$D, MATCH(C2, 參數!$B:$B, 0), 4) = "主管",
                    ROUND(SUM(F6*H6, F7*H7, F8*H8, F9*H9), 0),
                    ""
                )
            ),
            ""
        )</f>
        <v>82</v>
      </c>
      <c r="E13" s="28" t="str">
        <f t="array" ref="E13">IF(AND(ISNUMBER($D$13),$D$13&gt;0),
    IFERROR(
        _xlfn.IFS(
            $D$13&gt;=90,"考核:優",
            $D$13&gt;=80,"考核:甲",
            $D$13&gt;=70,"考核:乙",
            $D$13&gt;=60,"考核:丙",
            $D$13&gt;=50,"考核:丁",
            $D$13&gt;=1,"考核:戊"
        ),
        ""
    ),
    ""
)</f>
        <v>考核:甲</v>
      </c>
      <c r="F13" s="29"/>
      <c r="G13" s="29"/>
      <c r="H13" s="29"/>
      <c r="I13" s="29"/>
      <c r="J13" s="29"/>
      <c r="K13" s="29"/>
    </row>
    <row r="14" ht="30.050000000000001" customHeight="1">
      <c r="A14" s="7"/>
      <c r="B14" s="17" t="s">
        <v>15</v>
      </c>
      <c r="C14" s="17"/>
      <c r="D14" s="17">
        <f>IFERROR(
        IF(
            INDEX(參數!$A:$D, MATCH(C2, 參數!$B:$B, 0), 4) = "員工",
            ROUND(SUM(F6*K6, F7*K7, F8*K8, F9*K9), 0),
            IF(
                INDEX(參數!$A:$D, MATCH(C2, 參數!$B:$B, 0), 4) = "主管",
                ROUND(SUM(F6*I6, F7*I7, F8*I8, F9*I9), 0),
                ""
            )
        ),
        ""
    )</f>
        <v>82</v>
      </c>
      <c r="E14" s="28" t="str">
        <f t="array" ref="E14">IF(AND(ISNUMBER($D$14),$D$14&gt;0),
    IFERROR(
        _xlfn.IFS(
            $D$14&gt;=90,"績效:優",
            $D$14&gt;=80,"績效:甲",
            $D$14&gt;=70,"績效:乙",
            $D$14&gt;=60,"績效:丙",
            $D$14&gt;=50,"績效:丁",
            $D$14&gt;=1,"績效:戊"
        ),
        ""
    ),
    ""
)</f>
        <v>績效:甲</v>
      </c>
      <c r="F14" s="29"/>
      <c r="G14" s="29"/>
      <c r="H14" s="29"/>
      <c r="I14" s="29"/>
      <c r="J14" s="29"/>
      <c r="K14" s="29"/>
    </row>
    <row r="15" s="30" customFormat="1" ht="19.25" customHeight="1">
      <c r="B15" s="31" t="s">
        <v>27</v>
      </c>
      <c r="C15" s="32"/>
      <c r="D15" s="32"/>
      <c r="E15" s="32"/>
      <c r="F15" s="33"/>
      <c r="G15" s="34"/>
      <c r="H15" s="5"/>
      <c r="I15" s="5"/>
      <c r="J15" s="5"/>
      <c r="K15" s="5"/>
    </row>
    <row r="16" s="30" customFormat="1" ht="15.75">
      <c r="B16" s="31" t="s">
        <v>28</v>
      </c>
      <c r="C16" s="32"/>
      <c r="D16" s="32"/>
      <c r="E16" s="32"/>
      <c r="F16" s="34"/>
      <c r="G16" s="34"/>
      <c r="H16" s="5"/>
      <c r="I16" s="5"/>
      <c r="J16" s="5"/>
      <c r="K16" s="5"/>
    </row>
    <row r="17" s="30" customFormat="1" ht="15.75">
      <c r="B17" s="31" t="s">
        <v>29</v>
      </c>
      <c r="C17" s="32"/>
      <c r="D17" s="32"/>
      <c r="E17" s="32"/>
      <c r="F17" s="34"/>
      <c r="G17" s="34"/>
      <c r="H17" s="5"/>
      <c r="I17" s="5"/>
      <c r="J17" s="5"/>
      <c r="K17" s="5"/>
    </row>
    <row r="18" s="30" customFormat="1" ht="15.75">
      <c r="B18" s="31" t="s">
        <v>30</v>
      </c>
      <c r="C18" s="32"/>
      <c r="D18" s="32"/>
      <c r="E18" s="32"/>
      <c r="F18" s="34"/>
      <c r="G18" s="34"/>
      <c r="H18" s="5"/>
      <c r="I18" s="5"/>
      <c r="J18" s="5"/>
      <c r="K18" s="5"/>
    </row>
    <row r="19" s="30" customFormat="1" ht="15.75">
      <c r="B19" s="31" t="s">
        <v>31</v>
      </c>
      <c r="C19" s="32"/>
      <c r="D19" s="32"/>
      <c r="E19" s="32"/>
      <c r="F19" s="34"/>
      <c r="G19" s="34"/>
      <c r="H19" s="5"/>
      <c r="I19" s="5"/>
      <c r="J19" s="5"/>
      <c r="K19" s="5"/>
    </row>
    <row r="20" s="30" customFormat="1" ht="15.75">
      <c r="B20" s="31" t="s">
        <v>32</v>
      </c>
      <c r="C20" s="32"/>
      <c r="D20" s="32"/>
      <c r="E20" s="32"/>
      <c r="F20" s="34"/>
      <c r="G20" s="34"/>
      <c r="H20" s="5"/>
      <c r="I20" s="5"/>
      <c r="J20" s="5"/>
      <c r="K20" s="5"/>
    </row>
    <row r="21" s="30" customFormat="1" ht="15.75">
      <c r="B21" s="31" t="s">
        <v>33</v>
      </c>
      <c r="C21" s="32"/>
      <c r="D21" s="32"/>
      <c r="E21" s="32"/>
      <c r="F21" s="34"/>
      <c r="G21" s="34"/>
      <c r="H21" s="5"/>
      <c r="I21" s="5"/>
      <c r="J21" s="5"/>
      <c r="K21" s="5"/>
    </row>
    <row r="22" s="30" customFormat="1" ht="15.75">
      <c r="B22" s="31" t="s">
        <v>34</v>
      </c>
      <c r="C22" s="32"/>
      <c r="D22" s="32"/>
      <c r="E22" s="32"/>
      <c r="F22" s="34"/>
      <c r="G22" s="34"/>
      <c r="H22" s="5"/>
      <c r="I22" s="5"/>
      <c r="J22" s="5"/>
      <c r="K22" s="5"/>
    </row>
    <row r="23" s="30" customFormat="1" ht="15.75">
      <c r="B23" s="31"/>
      <c r="C23" s="32"/>
      <c r="D23" s="32"/>
      <c r="E23" s="32"/>
      <c r="F23" s="34"/>
      <c r="G23" s="34"/>
      <c r="H23" s="5"/>
      <c r="I23" s="5"/>
      <c r="J23" s="5"/>
      <c r="K23" s="5"/>
    </row>
    <row r="24" ht="15.75">
      <c r="B24" s="35"/>
    </row>
    <row r="25" ht="15.75">
      <c r="B25" s="35"/>
    </row>
  </sheetData>
  <sheetProtection algorithmName="SHA-512" hashValue="Dmz1TQF4ssoEs1lILZ0KLE36W6muFrCvHYwO2O6eyYWwTpM32UXkVRPs6NvSt3FO1xMiSsR1BmsWalxQGMTYVg==" saltValue="faVl/V5d5gY2VDQQxuLkBw==" spinCount="100000" autoFilter="1" deleteColumns="1" deleteRows="1" formatCells="1"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750077-002B-47F6-ADD7-00BD006100BE}"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450088-000E-487A-9254-009A0019000B}"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5" zoomScale="100" workbookViewId="0">
      <selection activeCell="C3" activeCellId="0" sqref="C3"/>
    </sheetView>
  </sheetViews>
  <sheetFormatPr defaultColWidth="11.25" defaultRowHeight="15.65" customHeight="1"/>
  <cols>
    <col customWidth="1" hidden="1" min="1" max="1" style="1" width="0.125"/>
    <col customWidth="1" min="2" max="2" style="2" width="16.75"/>
    <col customWidth="1" min="3" max="3" style="2" width="18.625"/>
    <col customWidth="1" hidden="1" min="4" max="4" style="2" width="5.5"/>
    <col customWidth="1" min="5" max="5" style="3" width="32"/>
    <col customWidth="1" min="6" max="6" style="4" width="4.75"/>
    <col customWidth="1" min="7" max="7" style="4" width="7.625"/>
    <col customWidth="1" min="8" max="10" style="5" width="6.625"/>
    <col customWidth="1" min="11" max="11" style="5" width="7.125"/>
    <col customWidth="1" min="12" max="16384" style="1" width="11.25"/>
  </cols>
  <sheetData>
    <row r="1" s="6" customFormat="1" ht="36.649999999999999" customHeight="1">
      <c r="A1" s="7"/>
      <c r="B1" s="8" t="s">
        <v>0</v>
      </c>
      <c r="C1" s="9"/>
      <c r="D1" s="9"/>
      <c r="E1" s="9"/>
      <c r="F1" s="9"/>
      <c r="G1" s="9"/>
      <c r="H1" s="9"/>
      <c r="I1" s="9"/>
      <c r="J1" s="9"/>
      <c r="K1" s="10"/>
    </row>
    <row r="2" ht="35.25" customHeight="1">
      <c r="A2" s="7"/>
      <c r="B2" s="11" t="s">
        <v>1</v>
      </c>
      <c r="C2" s="11" t="s">
        <v>37</v>
      </c>
      <c r="D2" s="11"/>
      <c r="E2" s="11"/>
      <c r="F2" s="11" t="s">
        <v>3</v>
      </c>
      <c r="G2" s="11"/>
      <c r="H2" s="11" t="s">
        <v>4</v>
      </c>
      <c r="I2" s="11"/>
      <c r="J2" s="11"/>
      <c r="K2" s="11"/>
    </row>
    <row r="3" ht="58.850000000000001" customHeight="1">
      <c r="A3" s="7"/>
      <c r="B3" s="12" t="s">
        <v>5</v>
      </c>
      <c r="C3" s="13" t="s">
        <v>38</v>
      </c>
      <c r="D3" s="14"/>
      <c r="E3" s="14"/>
      <c r="F3" s="14"/>
      <c r="G3" s="14"/>
      <c r="H3" s="14"/>
      <c r="I3" s="14"/>
      <c r="J3" s="14"/>
      <c r="K3" s="15"/>
    </row>
    <row r="4" ht="35.25" customHeight="1">
      <c r="A4" s="7"/>
      <c r="B4" s="12" t="s">
        <v>7</v>
      </c>
      <c r="C4" s="12" t="s">
        <v>8</v>
      </c>
      <c r="D4" s="12"/>
      <c r="E4" s="12"/>
      <c r="F4" s="12"/>
      <c r="G4" s="12"/>
      <c r="H4" s="16" t="s">
        <v>9</v>
      </c>
      <c r="I4" s="16"/>
      <c r="J4" s="16" t="s">
        <v>10</v>
      </c>
      <c r="K4" s="16"/>
    </row>
    <row r="5" ht="30.050000000000001"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9">
        <v>85</v>
      </c>
      <c r="G6" s="19"/>
      <c r="H6" s="20">
        <v>0.29999999999999999</v>
      </c>
      <c r="I6" s="20">
        <v>0.20000000000000001</v>
      </c>
      <c r="J6" s="20">
        <v>0.29999999999999999</v>
      </c>
      <c r="K6" s="20">
        <v>0.25</v>
      </c>
    </row>
    <row r="7" ht="81.099999999999994" customHeight="1">
      <c r="A7" s="7"/>
      <c r="B7" s="11" t="s">
        <v>18</v>
      </c>
      <c r="C7" s="18" t="s">
        <v>19</v>
      </c>
      <c r="D7" s="18"/>
      <c r="E7" s="18"/>
      <c r="F7" s="19">
        <v>85</v>
      </c>
      <c r="G7" s="19"/>
      <c r="H7" s="20">
        <v>0.29999999999999999</v>
      </c>
      <c r="I7" s="20">
        <v>0.20000000000000001</v>
      </c>
      <c r="J7" s="20">
        <v>0.40000000000000002</v>
      </c>
      <c r="K7" s="20">
        <v>0.25</v>
      </c>
    </row>
    <row r="8" ht="53.399999999999999" customHeight="1">
      <c r="A8" s="7"/>
      <c r="B8" s="11" t="s">
        <v>20</v>
      </c>
      <c r="C8" s="21" t="s">
        <v>21</v>
      </c>
      <c r="D8" s="22"/>
      <c r="E8" s="18"/>
      <c r="F8" s="19"/>
      <c r="G8" s="19"/>
      <c r="H8" s="20">
        <v>0.10000000000000001</v>
      </c>
      <c r="I8" s="20">
        <v>0.10000000000000001</v>
      </c>
      <c r="J8" s="20">
        <v>0</v>
      </c>
      <c r="K8" s="20">
        <v>0</v>
      </c>
    </row>
    <row r="9" ht="40.25" customHeight="1">
      <c r="A9" s="7"/>
      <c r="B9" s="11" t="s">
        <v>22</v>
      </c>
      <c r="C9" s="18" t="s">
        <v>23</v>
      </c>
      <c r="D9" s="18"/>
      <c r="E9" s="18"/>
      <c r="F9" s="19">
        <v>80</v>
      </c>
      <c r="G9" s="19"/>
      <c r="H9" s="20">
        <v>0.29999999999999999</v>
      </c>
      <c r="I9" s="20">
        <v>0.5</v>
      </c>
      <c r="J9" s="20">
        <v>0.29999999999999999</v>
      </c>
      <c r="K9" s="20">
        <v>0.5</v>
      </c>
    </row>
    <row r="10" ht="50.399999999999999" customHeight="1">
      <c r="A10" s="7"/>
      <c r="B10" s="23" t="s">
        <v>24</v>
      </c>
      <c r="C10" s="23"/>
      <c r="D10" s="23"/>
      <c r="E10" s="24"/>
      <c r="F10" s="24"/>
      <c r="G10" s="24"/>
      <c r="H10" s="20">
        <f>SUM(H6:H9)</f>
        <v>1</v>
      </c>
      <c r="I10" s="20">
        <f>SUM(I6:I9)</f>
        <v>1</v>
      </c>
      <c r="J10" s="20">
        <f>SUM(J6:J9)</f>
        <v>1</v>
      </c>
      <c r="K10" s="20">
        <f>SUM(K6:K9)</f>
        <v>1</v>
      </c>
    </row>
    <row r="11" ht="43.200000000000003" customHeight="1">
      <c r="A11" s="7"/>
      <c r="B11" s="25"/>
      <c r="C11" s="26"/>
      <c r="D11" s="26"/>
      <c r="E11" s="26"/>
      <c r="F11" s="26"/>
      <c r="G11" s="26"/>
      <c r="H11" s="26"/>
      <c r="I11" s="26"/>
      <c r="J11" s="26"/>
      <c r="K11" s="27"/>
    </row>
    <row r="12" ht="31.800000000000001" customHeight="1">
      <c r="A12" s="7"/>
      <c r="B12" s="17" t="s">
        <v>25</v>
      </c>
      <c r="C12" s="17"/>
      <c r="D12" s="17"/>
      <c r="E12" s="17"/>
      <c r="F12" s="17" t="s">
        <v>26</v>
      </c>
      <c r="G12" s="17"/>
      <c r="H12" s="17"/>
      <c r="I12" s="17"/>
      <c r="J12" s="17"/>
      <c r="K12" s="17"/>
    </row>
    <row r="13" ht="30.050000000000001" customHeight="1">
      <c r="A13" s="7"/>
      <c r="B13" s="17" t="s">
        <v>14</v>
      </c>
      <c r="C13" s="17"/>
      <c r="D13" s="17">
        <f>IFERROR(
            IF(
                INDEX(參數!$A:$D, MATCH(C2, 參數!$B:$B, 0), 4) = "員工",
                ROUND(SUM(F6*J6, F7*J7, F8*J8, F9*J9), 0),
                IF(
                    INDEX(參數!$A:$D, MATCH(C2, 參數!$B:$B, 0), 4) = "主管",
                    ROUND(SUM(F6*H6, F7*H7, F8*H8, F9*H9), 0),
                    ""
                )
            ),
            ""
        )</f>
        <v>84</v>
      </c>
      <c r="E13" s="28" t="str">
        <f t="array" ref="E13">IF(AND(ISNUMBER($D$13),$D$13&gt;0),
    IFERROR(
        _xlfn.IFS(
            $D$13&gt;=90,"考核:優",
            $D$13&gt;=80,"考核:甲",
            $D$13&gt;=70,"考核:乙",
            $D$13&gt;=60,"考核:丙",
            $D$13&gt;=50,"考核:丁",
            $D$13&gt;=1,"考核:戊"
        ),
        ""
    ),
    ""
)</f>
        <v>考核:甲</v>
      </c>
      <c r="F13" s="29"/>
      <c r="G13" s="29"/>
      <c r="H13" s="29"/>
      <c r="I13" s="29"/>
      <c r="J13" s="29"/>
      <c r="K13" s="29"/>
    </row>
    <row r="14" ht="30.050000000000001" customHeight="1">
      <c r="A14" s="7"/>
      <c r="B14" s="17" t="s">
        <v>15</v>
      </c>
      <c r="C14" s="17"/>
      <c r="D14" s="17">
        <f>IFERROR(
        IF(
            INDEX(參數!$A:$D, MATCH(C2, 參數!$B:$B, 0), 4) = "員工",
            ROUND(SUM(F6*K6, F7*K7, F8*K8, F9*K9), 0),
            IF(
                INDEX(參數!$A:$D, MATCH(C2, 參數!$B:$B, 0), 4) = "主管",
                ROUND(SUM(F6*I6, F7*I7, F8*I8, F9*I9), 0),
                ""
            )
        ),
        ""
    )</f>
        <v>83</v>
      </c>
      <c r="E14" s="28" t="str">
        <f t="array" ref="E14">IF(AND(ISNUMBER($D$14),$D$14&gt;0),
    IFERROR(
        _xlfn.IFS(
            $D$14&gt;=90,"績效:優",
            $D$14&gt;=80,"績效:甲",
            $D$14&gt;=70,"績效:乙",
            $D$14&gt;=60,"績效:丙",
            $D$14&gt;=50,"績效:丁",
            $D$14&gt;=1,"績效:戊"
        ),
        ""
    ),
    ""
)</f>
        <v>績效:甲</v>
      </c>
      <c r="F14" s="29"/>
      <c r="G14" s="29"/>
      <c r="H14" s="29"/>
      <c r="I14" s="29"/>
      <c r="J14" s="29"/>
      <c r="K14" s="29"/>
    </row>
    <row r="15" s="30" customFormat="1" ht="19.25" customHeight="1">
      <c r="B15" s="31" t="s">
        <v>27</v>
      </c>
      <c r="C15" s="32"/>
      <c r="D15" s="32"/>
      <c r="E15" s="32"/>
      <c r="F15" s="33"/>
      <c r="G15" s="34"/>
      <c r="H15" s="5"/>
      <c r="I15" s="5"/>
      <c r="J15" s="5"/>
      <c r="K15" s="5"/>
    </row>
    <row r="16" s="30" customFormat="1" ht="15.75">
      <c r="B16" s="31" t="s">
        <v>28</v>
      </c>
      <c r="C16" s="32"/>
      <c r="D16" s="32"/>
      <c r="E16" s="32"/>
      <c r="F16" s="34"/>
      <c r="G16" s="34"/>
      <c r="H16" s="5"/>
      <c r="I16" s="5"/>
      <c r="J16" s="5"/>
      <c r="K16" s="5"/>
    </row>
    <row r="17" s="30" customFormat="1" ht="15.75">
      <c r="B17" s="31" t="s">
        <v>29</v>
      </c>
      <c r="C17" s="32"/>
      <c r="D17" s="32"/>
      <c r="E17" s="32"/>
      <c r="F17" s="34"/>
      <c r="G17" s="34"/>
      <c r="H17" s="5"/>
      <c r="I17" s="5"/>
      <c r="J17" s="5"/>
      <c r="K17" s="5"/>
    </row>
    <row r="18" s="30" customFormat="1" ht="15.75">
      <c r="B18" s="31" t="s">
        <v>30</v>
      </c>
      <c r="C18" s="32"/>
      <c r="D18" s="32"/>
      <c r="E18" s="32"/>
      <c r="F18" s="34"/>
      <c r="G18" s="34"/>
      <c r="H18" s="5"/>
      <c r="I18" s="5"/>
      <c r="J18" s="5"/>
      <c r="K18" s="5"/>
    </row>
    <row r="19" s="30" customFormat="1" ht="15.75">
      <c r="B19" s="31" t="s">
        <v>31</v>
      </c>
      <c r="C19" s="32"/>
      <c r="D19" s="32"/>
      <c r="E19" s="32"/>
      <c r="F19" s="34"/>
      <c r="G19" s="34"/>
      <c r="H19" s="5"/>
      <c r="I19" s="5"/>
      <c r="J19" s="5"/>
      <c r="K19" s="5"/>
    </row>
    <row r="20" s="30" customFormat="1" ht="15.75">
      <c r="B20" s="31" t="s">
        <v>32</v>
      </c>
      <c r="C20" s="32"/>
      <c r="D20" s="32"/>
      <c r="E20" s="32"/>
      <c r="F20" s="34"/>
      <c r="G20" s="34"/>
      <c r="H20" s="5"/>
      <c r="I20" s="5"/>
      <c r="J20" s="5"/>
      <c r="K20" s="5"/>
    </row>
    <row r="21" s="30" customFormat="1" ht="15.75">
      <c r="B21" s="31" t="s">
        <v>33</v>
      </c>
      <c r="C21" s="32"/>
      <c r="D21" s="32"/>
      <c r="E21" s="32"/>
      <c r="F21" s="34"/>
      <c r="G21" s="34"/>
      <c r="H21" s="5"/>
      <c r="I21" s="5"/>
      <c r="J21" s="5"/>
      <c r="K21" s="5"/>
    </row>
    <row r="22" s="30" customFormat="1" ht="15.75">
      <c r="B22" s="31" t="s">
        <v>34</v>
      </c>
      <c r="C22" s="32"/>
      <c r="D22" s="32"/>
      <c r="E22" s="32"/>
      <c r="F22" s="34"/>
      <c r="G22" s="34"/>
      <c r="H22" s="5"/>
      <c r="I22" s="5"/>
      <c r="J22" s="5"/>
      <c r="K22" s="5"/>
    </row>
    <row r="23" s="30" customFormat="1" ht="15.75">
      <c r="B23" s="31"/>
      <c r="C23" s="32"/>
      <c r="D23" s="32"/>
      <c r="E23" s="32"/>
      <c r="F23" s="34"/>
      <c r="G23" s="34"/>
      <c r="H23" s="5"/>
      <c r="I23" s="5"/>
      <c r="J23" s="5"/>
      <c r="K23" s="5"/>
    </row>
    <row r="24" ht="15.75">
      <c r="B24" s="35"/>
    </row>
    <row r="25" ht="15.75">
      <c r="B25" s="35"/>
    </row>
  </sheetData>
  <sheetProtection algorithmName="SHA-512" hashValue="Dmz1TQF4ssoEs1lILZ0KLE36W6muFrCvHYwO2O6eyYWwTpM32UXkVRPs6NvSt3FO1xMiSsR1BmsWalxQGMTYVg==" saltValue="faVl/V5d5gY2VDQQxuLkBw==" spinCount="100000" autoFilter="1" deleteColumns="1" deleteRows="1" formatCells="1"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09005C-00E7-4592-B1E8-001400890043}"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750081-007F-4BB7-9A59-00AB000D0098}"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sheetData>
    <row r="1">
      <c r="A1" t="s">
        <v>39</v>
      </c>
      <c r="B1" t="s">
        <v>2</v>
      </c>
      <c r="C1" t="s">
        <v>4</v>
      </c>
      <c r="D1" t="s">
        <v>10</v>
      </c>
    </row>
    <row r="2">
      <c r="A2" t="s">
        <v>40</v>
      </c>
      <c r="B2" t="s">
        <v>35</v>
      </c>
      <c r="C2" t="s">
        <v>4</v>
      </c>
      <c r="D2" t="s">
        <v>10</v>
      </c>
    </row>
    <row r="3">
      <c r="A3" t="s">
        <v>41</v>
      </c>
      <c r="B3" t="s">
        <v>37</v>
      </c>
      <c r="C3" t="s">
        <v>4</v>
      </c>
      <c r="D3" t="s">
        <v>10</v>
      </c>
    </row>
  </sheetData>
  <sheetProtection algorithmName="SHA-512" hashValue="G3DDrWeHhvjU+PRbxIOWHltgHgWK1r79VNMbmuJARRRbTtIz0Dz9+iw9NfVwU6ziaV+GeBTOajl0+qKzmWtmnQ==" saltValue="pKAJeY5aDSwBACZBTkTNJg==" spinCount="100000" autoFilter="1" deleteColumns="1" deleteRows="1" formatCells="1" formatColumns="1" formatRows="1" insertColumns="1" insertHyperlinks="1" insertRows="1" objects="0" pivotTables="1" scenarios="0" selectLockedCells="1" selectUnlockedCells="1" sheet="1" sort="1"/>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2147483648" verticalDpi="2147483648" copies="1"/>
  <headerFooter/>
</worksheet>
</file>

<file path=docProps/app.xml><?xml version="1.0" encoding="utf-8"?>
<Properties xmlns="http://schemas.openxmlformats.org/officeDocument/2006/extended-properties" xmlns:vt="http://schemas.openxmlformats.org/officeDocument/2006/docPropsVTypes">
  <Application>onlyoffice/8.0.1.31</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黃湧淇</cp:lastModifiedBy>
  <cp:revision>1</cp:revision>
  <dcterms:created xsi:type="dcterms:W3CDTF">2015-06-05T18:19:34Z</dcterms:created>
  <dcterms:modified xsi:type="dcterms:W3CDTF">2025-12-01T01:45:20Z</dcterms:modified>
</cp:coreProperties>
</file>